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a\Downloads\"/>
    </mc:Choice>
  </mc:AlternateContent>
  <xr:revisionPtr revIDLastSave="0" documentId="13_ncr:1_{05698573-517B-4BD7-8624-9BBF6B353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_HOME" sheetId="1" r:id="rId1"/>
    <sheet name="01_ECONOMY" sheetId="2" r:id="rId2"/>
    <sheet name="02_MOBILITY" sheetId="3" r:id="rId3"/>
    <sheet name="03_AGRICULTURE" sheetId="4" r:id="rId4"/>
    <sheet name="04_ENVIRONMENT" sheetId="5" r:id="rId5"/>
    <sheet name="05_POPULATION" sheetId="6" r:id="rId6"/>
    <sheet name="06_DIGITAL" sheetId="7" r:id="rId7"/>
    <sheet name="07_SOURCES" sheetId="8" r:id="rId8"/>
    <sheet name="DATA_ECONOMY" sheetId="9" state="hidden" r:id="rId9"/>
    <sheet name="DATA_ECONOMY_SIZE" sheetId="10" state="hidden" r:id="rId10"/>
    <sheet name="DATA_MOBILITY" sheetId="11" state="hidden" r:id="rId11"/>
    <sheet name="DATA_MOBILITY_STATES" sheetId="12" state="hidden" r:id="rId12"/>
    <sheet name="DATA_AGRICULTURE" sheetId="13" state="hidden" r:id="rId13"/>
    <sheet name="DATA_AGRICULTURE_CROPS" sheetId="14" state="hidden" r:id="rId14"/>
    <sheet name="DATA_ENVIRONMENT" sheetId="15" state="hidden" r:id="rId15"/>
    <sheet name="DATA_ENVIRONMENT_AQI" sheetId="16" state="hidden" r:id="rId16"/>
    <sheet name="DATA_POPULATION" sheetId="17" state="hidden" r:id="rId17"/>
    <sheet name="DATA_POPULATION_MEDIAN" sheetId="18" state="hidden" r:id="rId18"/>
    <sheet name="DATA_DIGITAL" sheetId="19" state="hidden" r:id="rId19"/>
    <sheet name="DATA_DIGITAL_VALUE" sheetId="20" state="hidden" r:id="rId20"/>
  </sheets>
  <definedNames>
    <definedName name="_xlnm.Print_Area" localSheetId="0">'00_HOME'!$A$1:$N$35</definedName>
    <definedName name="_xlnm.Print_Area" localSheetId="1">'01_ECONOMY'!$A$1:$N$36</definedName>
    <definedName name="_xlnm.Print_Area" localSheetId="2">'02_MOBILITY'!$A$1:$N$36</definedName>
    <definedName name="_xlnm.Print_Area" localSheetId="3">'03_AGRICULTURE'!$A$1:$N$36</definedName>
    <definedName name="_xlnm.Print_Area" localSheetId="4">'04_ENVIRONMENT'!$A$1:$N$36</definedName>
    <definedName name="_xlnm.Print_Area" localSheetId="5">'05_POPULATION'!$A$1:$N$36</definedName>
    <definedName name="_xlnm.Print_Area" localSheetId="6">'06_DIGITAL'!$A$1:$N$36</definedName>
    <definedName name="_xlnm.Print_Area" localSheetId="7">'07_SOURCES'!$A$1:$N$22</definedName>
  </definedNames>
  <calcPr calcId="124519"/>
</workbook>
</file>

<file path=xl/sharedStrings.xml><?xml version="1.0" encoding="utf-8"?>
<sst xmlns="http://schemas.openxmlformats.org/spreadsheetml/2006/main" count="311" uniqueCount="204">
  <si>
    <t>INDIA BY THE NUMBERS</t>
  </si>
  <si>
    <t>PORTFOLIO EDITION
SEPTEMBER 2026</t>
  </si>
  <si>
    <t>Six lenses. One country.</t>
  </si>
  <si>
    <t>A concise, source-traceable view of how the country is growing, moving, producing, breathing, changing and transacting.</t>
  </si>
  <si>
    <t>REAL GDP GROWTH
FY 2024-25</t>
  </si>
  <si>
    <t>25.5L</t>
  </si>
  <si>
    <t>EVs SOLD
FY 2025-26</t>
  </si>
  <si>
    <t>357.7 MT</t>
  </si>
  <si>
    <t>FOODGRAIN
FY 2024-25</t>
  </si>
  <si>
    <t>1.464 BN</t>
  </si>
  <si>
    <t>POPULATION
2025</t>
  </si>
  <si>
    <t>214 µg/m³</t>
  </si>
  <si>
    <t>PM2.5 PEAK
Byrnihat • Jan 2025</t>
  </si>
  <si>
    <t>24,162 Cr</t>
  </si>
  <si>
    <t>UPI TXNS
FY 2025-26</t>
  </si>
  <si>
    <t>THE STORY IN SIX LENSES</t>
  </si>
  <si>
    <t>01
ECONOMY</t>
  </si>
  <si>
    <t>Growth cooled from 8.2% while nominal GDP crossed ₹330 lakh crore.</t>
  </si>
  <si>
    <t>OPEN →</t>
  </si>
  <si>
    <t>02
MOBILITY</t>
  </si>
  <si>
    <t>EV sales accelerated ~30% versus FY2024-25.</t>
  </si>
  <si>
    <t>03
AGRICULTURE</t>
  </si>
  <si>
    <t>A record foodgrain harvest in 2024-25.</t>
  </si>
  <si>
    <t>04
ENVIRONMENT</t>
  </si>
  <si>
    <t>Byrnihat's January PM2.5 average was far above the WHO annual guideline.</t>
  </si>
  <si>
    <t>05
POPULATION</t>
  </si>
  <si>
    <t>About two-thirds of the population sits in the 15–64 working-age band.</t>
  </si>
  <si>
    <t>06
DIGITAL</t>
  </si>
  <si>
    <t>228.3 Bn</t>
  </si>
  <si>
    <t>Annual UPI volume more than tripled from 2022 to 2025.</t>
  </si>
  <si>
    <t>READ THIS FIRST
Reporting periods are preserved as published (FY = financial year; CY = calendar year). Source tier is explicit in the raw CSVs and the Sources tab. This is an editorial portfolio project, not an official statistical publication.</t>
  </si>
  <si>
    <t>01  ECONOMY</t>
  </si>
  <si>
    <t>How fast is India growing?</t>
  </si>
  <si>
    <t>← HOME</t>
  </si>
  <si>
    <t>REAL GDP GROWTH • FY25</t>
  </si>
  <si>
    <t>₹330.7L Cr</t>
  </si>
  <si>
    <t>NOMINAL GDP • FY25</t>
  </si>
  <si>
    <t>REAL GVA GROWTH • FY25</t>
  </si>
  <si>
    <t>GFCF GROWTH • FY25</t>
  </si>
  <si>
    <t>REAL GDP GROWTH</t>
  </si>
  <si>
    <t>NOMINAL GDP SIZE</t>
  </si>
  <si>
    <t>THE SIGNAL
Growth remains strong, but the headline moderated from 8.2% in FY2023-24 to 6.5% in FY2024-25. Nominal GDP increased from ₹301.23 lakh crore to ₹330.68 lakh crore.</t>
  </si>
  <si>
    <t>SOURCE NOTE  •  MOSPI provisional annual GDP estimates for FY2024-25.</t>
  </si>
  <si>
    <t>SOURCES →</t>
  </si>
  <si>
    <t>02  MOBILITY</t>
  </si>
  <si>
    <t>How is India moving?</t>
  </si>
  <si>
    <t>25.5 L</t>
  </si>
  <si>
    <t>EV SALES • FY26</t>
  </si>
  <si>
    <t>FY25 → FY26</t>
  </si>
  <si>
    <t>EV SHARE • FY26</t>
  </si>
  <si>
    <t>3.78 L</t>
  </si>
  <si>
    <t>TOP STATE • UP</t>
  </si>
  <si>
    <t>EV SALES — SCALE-UP</t>
  </si>
  <si>
    <t>TOP EV STATES • FY25</t>
  </si>
  <si>
    <t>THE SIGNAL
EV sales rose from 19.65 lakh in FY2024-25 to 25.51 lakh in FY2025-26 — roughly 30% growth. Uttar Pradesh led the selected state ranking.</t>
  </si>
  <si>
    <t>SOURCE NOTE  •  Vahan Public Dashboard is the primary government source; the series here is marked secondary and should be rechecked against Vahan.</t>
  </si>
  <si>
    <t>03  AGRICULTURE</t>
  </si>
  <si>
    <t>What is India producing?</t>
  </si>
  <si>
    <t>FOODGRAIN • FY25</t>
  </si>
  <si>
    <t>YoY</t>
  </si>
  <si>
    <t>150.2 MT</t>
  </si>
  <si>
    <t>RICE • FY25</t>
  </si>
  <si>
    <t>117.9 MT</t>
  </si>
  <si>
    <t>WHEAT • FY25</t>
  </si>
  <si>
    <t>FOODGRAIN PRODUCTION</t>
  </si>
  <si>
    <t>CROP MIX • FY25</t>
  </si>
  <si>
    <t>THE SIGNAL
India's 2024-25 foodgrain output reached 357.73 million tonnes, a record and about 7.6% above 2023-24. Rice and wheat are the largest components in the selected crop mix.</t>
  </si>
  <si>
    <t>SOURCE NOTE  •  Ministry of Agriculture &amp; Farmers Welfare final estimates for 2024-25, released by PIB.</t>
  </si>
  <si>
    <t>04  ENVIRONMENT</t>
  </si>
  <si>
    <t>What are we breathing?</t>
  </si>
  <si>
    <t>BYRNIHAT PM2.5 • JAN25</t>
  </si>
  <si>
    <t>9 µg/m³</t>
  </si>
  <si>
    <t>AIZAWL • JAN25</t>
  </si>
  <si>
    <t>5 µg/m³</t>
  </si>
  <si>
    <t>WHO ANNUAL GUIDELINE</t>
  </si>
  <si>
    <t>22 / 240</t>
  </si>
  <si>
    <t>GOOD-AIR CITIES</t>
  </si>
  <si>
    <t>PM2.5 VS WHO GUIDELINE</t>
  </si>
  <si>
    <t>AQI CATEGORY DISTRIBUTION</t>
  </si>
  <si>
    <t>THE SIGNAL
The gap is stark: Byrnihat's January 2025 monthly PM2.5 average was more than 40× the WHO annual guideline of 5 µg/m³.</t>
  </si>
  <si>
    <t>SOURCE NOTE  •  CPCB provides the AQI framework and monitoring portal; the January 2025 city snapshot is a secondary analysis.</t>
  </si>
  <si>
    <t>05  POPULATION</t>
  </si>
  <si>
    <t>Who is driving the change?</t>
  </si>
  <si>
    <t>POPULATION • 2025</t>
  </si>
  <si>
    <t>28.4 yrs</t>
  </si>
  <si>
    <t>MEDIAN AGE</t>
  </si>
  <si>
    <t>AGE 15–64</t>
  </si>
  <si>
    <t>1.04 BN</t>
  </si>
  <si>
    <t>WORKING AGE • 2030</t>
  </si>
  <si>
    <t>INDIA'S AGE STRUCTURE</t>
  </si>
  <si>
    <t>MEDIAN AGE — COMPARISON</t>
  </si>
  <si>
    <t>THE SIGNAL
India remains relatively young compared with several major economies. About 68% of the population is in the 15–64 age band in the 2025 UNFPA dashboard.</t>
  </si>
  <si>
    <t>SOURCE NOTE  •  UNFPA World Population Dashboard / World Population Prospects 2024 revision.</t>
  </si>
  <si>
    <t>06  DIGITAL INDIA</t>
  </si>
  <si>
    <t>How is India transacting?</t>
  </si>
  <si>
    <t>228.3 BN</t>
  </si>
  <si>
    <t>UPI VOLUME • CY25</t>
  </si>
  <si>
    <t>3.1×</t>
  </si>
  <si>
    <t>CY22 → CY25</t>
  </si>
  <si>
    <t>₹314L Cr</t>
  </si>
  <si>
    <t>UPI VALUE • FY26</t>
  </si>
  <si>
    <t>BANKS LIVE • JUN26</t>
  </si>
  <si>
    <t>UPI VOLUME — ANNUAL</t>
  </si>
  <si>
    <t>UPI VALUE: FY17 → FY26</t>
  </si>
  <si>
    <t>THE SIGNAL
UPI annual transaction volume rose from 74.05 billion in 2022 to 228.3 billion in 2025 — more than tripling in three years.</t>
  </si>
  <si>
    <t>SOURCE NOTE  •  NPCI Product Statistics is the primary source; annual volume is derived from monthly statistics.</t>
  </si>
  <si>
    <t>SOURCES &amp; METHODOLOGY</t>
  </si>
  <si>
    <t>DIMENSION</t>
  </si>
  <si>
    <t>SOURCE</t>
  </si>
  <si>
    <t>USE IN DASHBOARD</t>
  </si>
  <si>
    <t>TIER</t>
  </si>
  <si>
    <t>OPEN</t>
  </si>
  <si>
    <t>Economy</t>
  </si>
  <si>
    <t>MOSPI — Annual GDP Estimates FY2024-25</t>
  </si>
  <si>
    <t>GDP growth, GDP size, GFCF</t>
  </si>
  <si>
    <t>Official</t>
  </si>
  <si>
    <t>OPEN ↗</t>
  </si>
  <si>
    <t>OGD India — GDP time series</t>
  </si>
  <si>
    <t>Long-run context / extension</t>
  </si>
  <si>
    <t>Mobility</t>
  </si>
  <si>
    <t>MoRTH / Vahan Public Dashboard</t>
  </si>
  <si>
    <t>EV registrations and state analysis</t>
  </si>
  <si>
    <t>Agriculture</t>
  </si>
  <si>
    <t>PIB / Ministry of Agriculture</t>
  </si>
  <si>
    <t>Foodgrain and crop output</t>
  </si>
  <si>
    <t>Environment</t>
  </si>
  <si>
    <t>CPCB National AQI</t>
  </si>
  <si>
    <t>AQI framework and monitoring</t>
  </si>
  <si>
    <t>Centre for Research on Energy and Clean Air</t>
  </si>
  <si>
    <t>Selected Jan-2025 PM2.5 snapshot</t>
  </si>
  <si>
    <t>Secondary</t>
  </si>
  <si>
    <t>Population</t>
  </si>
  <si>
    <t>UNFPA World Population Dashboard</t>
  </si>
  <si>
    <t>Population, age structure, median age</t>
  </si>
  <si>
    <t>Digital</t>
  </si>
  <si>
    <t>NPCI UPI Product Statistics</t>
  </si>
  <si>
    <t>UPI volume, value and banks</t>
  </si>
  <si>
    <t>METHODOLOGY
• FY = financial year (Apr–Mar); CY = calendar year (Jan–Dec).
• Official = first-party government / UN / NPCI source. Secondary = published analysis based on official data. Derived = calculation from source values.
• This is an editorial portfolio project, not an official statistical publication. Verify primary sources before formal use.</t>
  </si>
  <si>
    <t>Period</t>
  </si>
  <si>
    <t>Real GDP Growth (%)</t>
  </si>
  <si>
    <t>Source Tier</t>
  </si>
  <si>
    <t>FY 2021-22</t>
  </si>
  <si>
    <t>FY 2022-23</t>
  </si>
  <si>
    <t>FY 2023-24</t>
  </si>
  <si>
    <t>FY 2024-25</t>
  </si>
  <si>
    <t>Nominal GDP (₹ lakh crore)</t>
  </si>
  <si>
    <t>EVs Sold (lakh)</t>
  </si>
  <si>
    <t>CY 2020</t>
  </si>
  <si>
    <t>CY 2021</t>
  </si>
  <si>
    <t>CY 2022</t>
  </si>
  <si>
    <t>FY 2025-26</t>
  </si>
  <si>
    <t>State</t>
  </si>
  <si>
    <t>EVs Sold FY2024-25</t>
  </si>
  <si>
    <t>Uttar Pradesh</t>
  </si>
  <si>
    <t>Maharashtra</t>
  </si>
  <si>
    <t>Karnataka</t>
  </si>
  <si>
    <t>Tamil Nadu</t>
  </si>
  <si>
    <t>Rajasthan</t>
  </si>
  <si>
    <t>Madhya Pradesh</t>
  </si>
  <si>
    <t>Crop Year</t>
  </si>
  <si>
    <t>Foodgrain Production (MT)</t>
  </si>
  <si>
    <t>2022-23</t>
  </si>
  <si>
    <t>2023-24</t>
  </si>
  <si>
    <t>2024-25</t>
  </si>
  <si>
    <t>Crop</t>
  </si>
  <si>
    <t>Output (MT)</t>
  </si>
  <si>
    <t>Rice</t>
  </si>
  <si>
    <t>Wheat</t>
  </si>
  <si>
    <t>Coarse Cereals</t>
  </si>
  <si>
    <t>Pulses</t>
  </si>
  <si>
    <t>Oilseeds</t>
  </si>
  <si>
    <t>City / Benchmark</t>
  </si>
  <si>
    <t>PM2.5 (µg/m³)</t>
  </si>
  <si>
    <t>WHO Safe Limit</t>
  </si>
  <si>
    <t>Aizawl</t>
  </si>
  <si>
    <t>Delhi</t>
  </si>
  <si>
    <t>Byrnihat</t>
  </si>
  <si>
    <t>AQI Category</t>
  </si>
  <si>
    <t>Cities</t>
  </si>
  <si>
    <t>Good</t>
  </si>
  <si>
    <t>Satisfactory</t>
  </si>
  <si>
    <t>Moderate</t>
  </si>
  <si>
    <t>Poor</t>
  </si>
  <si>
    <t>Very Poor</t>
  </si>
  <si>
    <t>Age Group</t>
  </si>
  <si>
    <t>Share (%)</t>
  </si>
  <si>
    <t>0–14 years</t>
  </si>
  <si>
    <t>15–64 years</t>
  </si>
  <si>
    <t>65+ years</t>
  </si>
  <si>
    <t>Country</t>
  </si>
  <si>
    <t>Median Age (years)</t>
  </si>
  <si>
    <t>India</t>
  </si>
  <si>
    <t>World Avg.</t>
  </si>
  <si>
    <t>China</t>
  </si>
  <si>
    <t>Japan</t>
  </si>
  <si>
    <t>Calendar Year</t>
  </si>
  <si>
    <t>UPI Volume (Bn transactions)</t>
  </si>
  <si>
    <t>Official/Derived</t>
  </si>
  <si>
    <t>CY 2023</t>
  </si>
  <si>
    <t>CY 2024</t>
  </si>
  <si>
    <t>CY 2025</t>
  </si>
  <si>
    <t>Secondary/Derived</t>
  </si>
  <si>
    <t>UPI Value (₹ lakh crore)</t>
  </si>
  <si>
    <t>FY 2016-17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</si>
</sst>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29"/>
      <color rgb="FFFFFFFF"/>
      <name val="Aptos Display"/>
      <family val="2"/>
    </font>
    <font>
      <i/>
      <sz val="15"/>
      <color rgb="FF667085"/>
      <name val="Aptos"/>
      <family val="2"/>
    </font>
    <font>
      <b/>
      <sz val="10"/>
      <color rgb="FFFFFFFF"/>
      <name val="Aptos"/>
      <family val="2"/>
    </font>
    <font>
      <sz val="9"/>
      <color rgb="FF667085"/>
      <name val="Aptos"/>
      <family val="2"/>
    </font>
    <font>
      <b/>
      <sz val="18"/>
      <color rgb="FF172033"/>
      <name val="Aptos Display"/>
      <family val="2"/>
    </font>
    <font>
      <sz val="8"/>
      <color rgb="FF667085"/>
      <name val="Aptos"/>
      <family val="2"/>
    </font>
    <font>
      <b/>
      <sz val="12"/>
      <color rgb="FF172033"/>
      <name val="Aptos"/>
      <family val="2"/>
    </font>
    <font>
      <b/>
      <sz val="11"/>
      <color rgb="FF172033"/>
      <name val="Aptos Display"/>
      <family val="2"/>
    </font>
    <font>
      <b/>
      <sz val="16"/>
      <color rgb="FFF79009"/>
      <name val="Aptos Display"/>
      <family val="2"/>
    </font>
    <font>
      <sz val="9"/>
      <color rgb="FF172033"/>
      <name val="Aptos"/>
      <family val="2"/>
    </font>
    <font>
      <b/>
      <sz val="9"/>
      <color rgb="FFF79009"/>
      <name val="Aptos"/>
      <family val="2"/>
    </font>
    <font>
      <b/>
      <sz val="16"/>
      <color rgb="FF039855"/>
      <name val="Aptos Display"/>
      <family val="2"/>
    </font>
    <font>
      <b/>
      <sz val="9"/>
      <color rgb="FF039855"/>
      <name val="Aptos"/>
      <family val="2"/>
    </font>
    <font>
      <b/>
      <sz val="16"/>
      <color rgb="FFD0A12B"/>
      <name val="Aptos Display"/>
      <family val="2"/>
    </font>
    <font>
      <b/>
      <sz val="9"/>
      <color rgb="FFD0A12B"/>
      <name val="Aptos"/>
      <family val="2"/>
    </font>
    <font>
      <b/>
      <sz val="16"/>
      <color rgb="FFD92D20"/>
      <name val="Aptos Display"/>
      <family val="2"/>
    </font>
    <font>
      <b/>
      <sz val="9"/>
      <color rgb="FFD92D20"/>
      <name val="Aptos"/>
      <family val="2"/>
    </font>
    <font>
      <b/>
      <sz val="16"/>
      <color rgb="FF6941C6"/>
      <name val="Aptos Display"/>
      <family val="2"/>
    </font>
    <font>
      <b/>
      <sz val="9"/>
      <color rgb="FF6941C6"/>
      <name val="Aptos"/>
      <family val="2"/>
    </font>
    <font>
      <b/>
      <sz val="16"/>
      <color rgb="FF2E6DA4"/>
      <name val="Aptos Display"/>
      <family val="2"/>
    </font>
    <font>
      <b/>
      <sz val="9"/>
      <color rgb="FF2E6DA4"/>
      <name val="Aptos"/>
      <family val="2"/>
    </font>
    <font>
      <b/>
      <sz val="25"/>
      <color rgb="FFFFFFFF"/>
      <name val="Aptos Display"/>
      <family val="2"/>
    </font>
    <font>
      <i/>
      <sz val="13"/>
      <color rgb="FF667085"/>
      <name val="Aptos"/>
      <family val="2"/>
    </font>
    <font>
      <sz val="10"/>
      <color rgb="FF172033"/>
      <name val="Aptos"/>
      <family val="2"/>
    </font>
    <font>
      <b/>
      <sz val="9"/>
      <color rgb="FF667085"/>
      <name val="Aptos"/>
      <family val="2"/>
    </font>
    <font>
      <b/>
      <sz val="9"/>
      <color rgb="FFFFFFFF"/>
      <name val="Aptos"/>
      <family val="2"/>
    </font>
    <font>
      <b/>
      <u/>
      <sz val="9"/>
      <color rgb="FF2E6DA4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01828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9F0"/>
        <bgColor indexed="64"/>
      </patternFill>
    </fill>
    <fill>
      <patternFill patternType="solid">
        <fgColor rgb="FF172033"/>
        <bgColor indexed="64"/>
      </patternFill>
    </fill>
  </fills>
  <borders count="2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medium">
        <color rgb="FFF79009"/>
      </top>
      <bottom/>
      <diagonal/>
    </border>
    <border>
      <left style="thin">
        <color rgb="FFD0D5DD"/>
      </left>
      <right style="thin">
        <color rgb="FFD0D5DD"/>
      </right>
      <top style="medium">
        <color rgb="FF039855"/>
      </top>
      <bottom/>
      <diagonal/>
    </border>
    <border>
      <left style="thin">
        <color rgb="FFD0D5DD"/>
      </left>
      <right style="thin">
        <color rgb="FFD0D5DD"/>
      </right>
      <top style="medium">
        <color rgb="FFD0A12B"/>
      </top>
      <bottom/>
      <diagonal/>
    </border>
    <border>
      <left style="thin">
        <color rgb="FFD0D5DD"/>
      </left>
      <right style="thin">
        <color rgb="FFD0D5DD"/>
      </right>
      <top style="medium">
        <color rgb="FF6941C6"/>
      </top>
      <bottom/>
      <diagonal/>
    </border>
    <border>
      <left style="thin">
        <color rgb="FFD0D5DD"/>
      </left>
      <right style="thin">
        <color rgb="FFD0D5DD"/>
      </right>
      <top style="medium">
        <color rgb="FFD92D20"/>
      </top>
      <bottom/>
      <diagonal/>
    </border>
    <border>
      <left style="thin">
        <color rgb="FFD0D5DD"/>
      </left>
      <right style="thin">
        <color rgb="FFD0D5DD"/>
      </right>
      <top style="medium">
        <color rgb="FF2E6DA4"/>
      </top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>
      <left style="dashed">
        <color rgb="FFF79009"/>
      </left>
      <right/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 style="dashed">
        <color rgb="FF039855"/>
      </left>
      <right/>
      <top style="thin">
        <color rgb="FFD0D5DD"/>
      </top>
      <bottom style="thin">
        <color rgb="FFD0D5DD"/>
      </bottom>
      <diagonal/>
    </border>
    <border>
      <left style="dashed">
        <color rgb="FFD0A12B"/>
      </left>
      <right/>
      <top style="thin">
        <color rgb="FFD0D5DD"/>
      </top>
      <bottom style="thin">
        <color rgb="FFD0D5DD"/>
      </bottom>
      <diagonal/>
    </border>
    <border>
      <left style="dashed">
        <color rgb="FFD92D20"/>
      </left>
      <right/>
      <top style="thin">
        <color rgb="FFD0D5DD"/>
      </top>
      <bottom style="thin">
        <color rgb="FFD0D5DD"/>
      </bottom>
      <diagonal/>
    </border>
    <border>
      <left style="dashed">
        <color rgb="FF6941C6"/>
      </left>
      <right/>
      <top style="thin">
        <color rgb="FFD0D5DD"/>
      </top>
      <bottom style="thin">
        <color rgb="FFD0D5DD"/>
      </bottom>
      <diagonal/>
    </border>
    <border>
      <left style="dashed">
        <color rgb="FF2E6DA4"/>
      </left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dashed">
        <color rgb="FFF79009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dashed">
        <color rgb="FF039855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dashed">
        <color rgb="FFD0A12B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dashed">
        <color rgb="FFD92D20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dashed">
        <color rgb="FF6941C6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dashed">
        <color rgb="FF2E6DA4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0" borderId="0" xfId="0" applyFont="1"/>
    <xf numFmtId="0" fontId="11" fillId="0" borderId="9" xfId="0" applyFont="1" applyBorder="1" applyAlignment="1">
      <alignment horizontal="right" vertical="center"/>
    </xf>
    <xf numFmtId="0" fontId="0" fillId="0" borderId="9" xfId="0" applyBorder="1"/>
    <xf numFmtId="0" fontId="13" fillId="0" borderId="9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7" fillId="0" borderId="9" xfId="0" applyFont="1" applyBorder="1" applyAlignment="1">
      <alignment horizontal="right" vertical="center"/>
    </xf>
    <xf numFmtId="0" fontId="19" fillId="0" borderId="9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11" fillId="0" borderId="0" xfId="0" applyFont="1"/>
    <xf numFmtId="0" fontId="25" fillId="0" borderId="0" xfId="0" applyFont="1"/>
    <xf numFmtId="0" fontId="21" fillId="0" borderId="0" xfId="0" applyFont="1" applyAlignment="1">
      <alignment horizontal="right"/>
    </xf>
    <xf numFmtId="0" fontId="21" fillId="0" borderId="0" xfId="0" applyFont="1"/>
    <xf numFmtId="0" fontId="26" fillId="6" borderId="0" xfId="0" applyFont="1" applyFill="1"/>
    <xf numFmtId="0" fontId="10" fillId="0" borderId="22" xfId="0" applyFont="1" applyBorder="1" applyAlignment="1">
      <alignment vertical="center" wrapText="1"/>
    </xf>
    <xf numFmtId="0" fontId="27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 wrapText="1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4" borderId="8" xfId="0" applyFont="1" applyFill="1" applyBorder="1" applyAlignment="1">
      <alignment vertical="center" wrapText="1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8" fillId="4" borderId="10" xfId="0" applyFont="1" applyFill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8" fillId="4" borderId="11" xfId="0" applyFont="1" applyFill="1" applyBorder="1" applyAlignment="1">
      <alignment vertical="center" wrapText="1"/>
    </xf>
    <xf numFmtId="0" fontId="14" fillId="0" borderId="9" xfId="0" applyFont="1" applyBorder="1" applyAlignment="1">
      <alignment horizontal="center" vertical="center"/>
    </xf>
    <xf numFmtId="0" fontId="8" fillId="4" borderId="12" xfId="0" applyFont="1" applyFill="1" applyBorder="1" applyAlignment="1">
      <alignment vertical="center" wrapText="1"/>
    </xf>
    <xf numFmtId="0" fontId="16" fillId="0" borderId="9" xfId="0" applyFont="1" applyBorder="1" applyAlignment="1">
      <alignment horizontal="center" vertical="center"/>
    </xf>
    <xf numFmtId="0" fontId="8" fillId="4" borderId="13" xfId="0" applyFont="1" applyFill="1" applyBorder="1" applyAlignment="1">
      <alignment vertical="center" wrapText="1"/>
    </xf>
    <xf numFmtId="0" fontId="18" fillId="0" borderId="9" xfId="0" applyFont="1" applyBorder="1" applyAlignment="1">
      <alignment horizontal="center" vertical="center"/>
    </xf>
    <xf numFmtId="0" fontId="8" fillId="4" borderId="14" xfId="0" applyFont="1" applyFill="1" applyBorder="1" applyAlignment="1">
      <alignment vertical="center" wrapText="1"/>
    </xf>
    <xf numFmtId="0" fontId="20" fillId="0" borderId="9" xfId="0" applyFont="1" applyBorder="1" applyAlignment="1">
      <alignment horizontal="center" vertical="center"/>
    </xf>
    <xf numFmtId="0" fontId="6" fillId="3" borderId="15" xfId="0" applyFont="1" applyFill="1" applyBorder="1" applyAlignment="1">
      <alignment vertical="top" wrapText="1"/>
    </xf>
    <xf numFmtId="0" fontId="22" fillId="2" borderId="0" xfId="0" applyFont="1" applyFill="1" applyAlignment="1">
      <alignment horizontal="left" vertical="center"/>
    </xf>
    <xf numFmtId="0" fontId="23" fillId="0" borderId="0" xfId="0" applyFont="1"/>
    <xf numFmtId="0" fontId="24" fillId="5" borderId="16" xfId="0" applyFont="1" applyFill="1" applyBorder="1" applyAlignment="1">
      <alignment vertical="center" wrapText="1"/>
    </xf>
    <xf numFmtId="0" fontId="24" fillId="4" borderId="17" xfId="0" applyFont="1" applyFill="1" applyBorder="1" applyAlignment="1">
      <alignment vertical="center" wrapText="1"/>
    </xf>
    <xf numFmtId="0" fontId="24" fillId="4" borderId="18" xfId="0" applyFont="1" applyFill="1" applyBorder="1" applyAlignment="1">
      <alignment vertical="center" wrapText="1"/>
    </xf>
    <xf numFmtId="0" fontId="24" fillId="4" borderId="19" xfId="0" applyFont="1" applyFill="1" applyBorder="1" applyAlignment="1">
      <alignment vertical="center" wrapText="1"/>
    </xf>
    <xf numFmtId="0" fontId="24" fillId="4" borderId="20" xfId="0" applyFont="1" applyFill="1" applyBorder="1" applyAlignment="1">
      <alignment vertical="center" wrapText="1"/>
    </xf>
    <xf numFmtId="0" fontId="24" fillId="4" borderId="21" xfId="0" applyFont="1" applyFill="1" applyBorder="1" applyAlignment="1">
      <alignment vertical="center" wrapText="1"/>
    </xf>
    <xf numFmtId="10" fontId="9" fillId="0" borderId="9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9" fontId="18" fillId="0" borderId="9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Real GDP Growth</c:v>
          </c:tx>
          <c:spPr>
            <a:ln w="31750">
              <a:solidFill>
                <a:srgbClr val="F79009"/>
              </a:solidFill>
            </a:ln>
          </c:spPr>
          <c:marker>
            <c:symbol val="none"/>
          </c:marker>
          <c:cat>
            <c:strRef>
              <c:f>DATA_ECONOMY!$A$2:$A$5</c:f>
              <c:strCache>
                <c:ptCount val="4"/>
                <c:pt idx="0">
                  <c:v>FY 2021-22</c:v>
                </c:pt>
                <c:pt idx="1">
                  <c:v>FY 2022-23</c:v>
                </c:pt>
                <c:pt idx="2">
                  <c:v>FY 2023-24</c:v>
                </c:pt>
                <c:pt idx="3">
                  <c:v>FY 2024-25</c:v>
                </c:pt>
              </c:strCache>
            </c:strRef>
          </c:cat>
          <c:val>
            <c:numRef>
              <c:f>DATA_ECONOMY!$B$2:$B$5</c:f>
              <c:numCache>
                <c:formatCode>General</c:formatCode>
                <c:ptCount val="4"/>
                <c:pt idx="0">
                  <c:v>9.6999999999999993</c:v>
                </c:pt>
                <c:pt idx="1">
                  <c:v>7</c:v>
                </c:pt>
                <c:pt idx="2">
                  <c:v>8.1999999999999993</c:v>
                </c:pt>
                <c:pt idx="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2-4BD0-AB1C-3BAD5F040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Nominal GDP</c:v>
          </c:tx>
          <c:spPr>
            <a:solidFill>
              <a:srgbClr val="F7900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7203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DATA_ECONOMY_SIZE!$A$2:$A$3</c:f>
              <c:strCache>
                <c:ptCount val="2"/>
                <c:pt idx="0">
                  <c:v>FY 2023-24</c:v>
                </c:pt>
                <c:pt idx="1">
                  <c:v>FY 2024-25</c:v>
                </c:pt>
              </c:strCache>
            </c:strRef>
          </c:cat>
          <c:val>
            <c:numRef>
              <c:f>DATA_ECONOMY_SIZE!$B$2:$B$3</c:f>
              <c:numCache>
                <c:formatCode>General</c:formatCode>
                <c:ptCount val="2"/>
                <c:pt idx="0">
                  <c:v>301.23</c:v>
                </c:pt>
                <c:pt idx="1">
                  <c:v>330.68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E-4842-AFE8-ADF78EDCF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EV Sales (lakh)</c:v>
          </c:tx>
          <c:spPr>
            <a:ln w="31750">
              <a:solidFill>
                <a:srgbClr val="039855"/>
              </a:solidFill>
            </a:ln>
          </c:spPr>
          <c:marker>
            <c:symbol val="none"/>
          </c:marker>
          <c:cat>
            <c:strRef>
              <c:f>DATA_MOBILITY!$A$2:$A$6</c:f>
              <c:strCache>
                <c:ptCount val="5"/>
                <c:pt idx="0">
                  <c:v>CY 2020</c:v>
                </c:pt>
                <c:pt idx="1">
                  <c:v>CY 2021</c:v>
                </c:pt>
                <c:pt idx="2">
                  <c:v>CY 2022</c:v>
                </c:pt>
                <c:pt idx="3">
                  <c:v>FY 2024-25</c:v>
                </c:pt>
                <c:pt idx="4">
                  <c:v>FY 2025-26</c:v>
                </c:pt>
              </c:strCache>
            </c:strRef>
          </c:cat>
          <c:val>
            <c:numRef>
              <c:f>DATA_MOBILITY!$B$2:$B$6</c:f>
              <c:numCache>
                <c:formatCode>General</c:formatCode>
                <c:ptCount val="5"/>
                <c:pt idx="0">
                  <c:v>1.21</c:v>
                </c:pt>
                <c:pt idx="1">
                  <c:v>3.22</c:v>
                </c:pt>
                <c:pt idx="2">
                  <c:v>10</c:v>
                </c:pt>
                <c:pt idx="3">
                  <c:v>19.649999999999999</c:v>
                </c:pt>
                <c:pt idx="4">
                  <c:v>25.51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D-4F8C-AAB7-3FFAD7E4E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EVs Sold</c:v>
          </c:tx>
          <c:spPr>
            <a:solidFill>
              <a:srgbClr val="039855"/>
            </a:solidFill>
            <a:ln>
              <a:noFill/>
            </a:ln>
          </c:spPr>
          <c:invertIfNegative val="0"/>
          <c:cat>
            <c:strRef>
              <c:f>DATA_MOBILITY_STATES!$A$2:$A$7</c:f>
              <c:strCache>
                <c:ptCount val="6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Tamil Nadu</c:v>
                </c:pt>
                <c:pt idx="4">
                  <c:v>Rajasthan</c:v>
                </c:pt>
                <c:pt idx="5">
                  <c:v>Madhya Pradesh</c:v>
                </c:pt>
              </c:strCache>
            </c:strRef>
          </c:cat>
          <c:val>
            <c:numRef>
              <c:f>DATA_MOBILITY_STATES!$B$2:$B$7</c:f>
              <c:numCache>
                <c:formatCode>General</c:formatCode>
                <c:ptCount val="6"/>
                <c:pt idx="0">
                  <c:v>377526</c:v>
                </c:pt>
                <c:pt idx="1">
                  <c:v>246221</c:v>
                </c:pt>
                <c:pt idx="2">
                  <c:v>173559</c:v>
                </c:pt>
                <c:pt idx="3">
                  <c:v>137699</c:v>
                </c:pt>
                <c:pt idx="4">
                  <c:v>106963</c:v>
                </c:pt>
                <c:pt idx="5">
                  <c:v>100314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D-4C90-89D3-053C4C70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Foodgrain (MT)</c:v>
          </c:tx>
          <c:spPr>
            <a:ln w="31750">
              <a:solidFill>
                <a:srgbClr val="D0A12B"/>
              </a:solidFill>
            </a:ln>
          </c:spPr>
          <c:marker>
            <c:symbol val="none"/>
          </c:marker>
          <c:cat>
            <c:strRef>
              <c:f>DATA_AGRICULTURE!$A$2:$A$4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DATA_AGRICULTURE!$B$2:$B$4</c:f>
              <c:numCache>
                <c:formatCode>General</c:formatCode>
                <c:ptCount val="3"/>
                <c:pt idx="0">
                  <c:v>329.7</c:v>
                </c:pt>
                <c:pt idx="1">
                  <c:v>332.3</c:v>
                </c:pt>
                <c:pt idx="2">
                  <c:v>357.7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3-4539-9614-0FE119916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Output (MT)</c:v>
          </c:tx>
          <c:spPr>
            <a:solidFill>
              <a:srgbClr val="D0A12B"/>
            </a:solidFill>
            <a:ln>
              <a:noFill/>
            </a:ln>
          </c:spPr>
          <c:invertIfNegative val="0"/>
          <c:cat>
            <c:strRef>
              <c:f>DATA_AGRICULTURE_CROPS!$A$2:$A$6</c:f>
              <c:strCache>
                <c:ptCount val="5"/>
                <c:pt idx="0">
                  <c:v>Rice</c:v>
                </c:pt>
                <c:pt idx="1">
                  <c:v>Wheat</c:v>
                </c:pt>
                <c:pt idx="2">
                  <c:v>Coarse Cereals</c:v>
                </c:pt>
                <c:pt idx="3">
                  <c:v>Pulses</c:v>
                </c:pt>
                <c:pt idx="4">
                  <c:v>Oilseeds</c:v>
                </c:pt>
              </c:strCache>
            </c:strRef>
          </c:cat>
          <c:val>
            <c:numRef>
              <c:f>DATA_AGRICULTURE_CROPS!$B$2:$B$6</c:f>
              <c:numCache>
                <c:formatCode>General</c:formatCode>
                <c:ptCount val="5"/>
                <c:pt idx="0">
                  <c:v>150.18</c:v>
                </c:pt>
                <c:pt idx="1">
                  <c:v>117.94</c:v>
                </c:pt>
                <c:pt idx="2">
                  <c:v>63.92</c:v>
                </c:pt>
                <c:pt idx="3">
                  <c:v>25.68</c:v>
                </c:pt>
                <c:pt idx="4">
                  <c:v>42.98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1-4FED-AC8A-7E470DE55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PM2.5 (µg/m³)</c:v>
          </c:tx>
          <c:spPr>
            <a:solidFill>
              <a:srgbClr val="D92D2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7203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DATA_ENVIRONMENT!$A$2:$A$5</c:f>
              <c:strCache>
                <c:ptCount val="4"/>
                <c:pt idx="0">
                  <c:v>WHO Safe Limit</c:v>
                </c:pt>
                <c:pt idx="1">
                  <c:v>Aizawl</c:v>
                </c:pt>
                <c:pt idx="2">
                  <c:v>Delhi</c:v>
                </c:pt>
                <c:pt idx="3">
                  <c:v>Byrnihat</c:v>
                </c:pt>
              </c:strCache>
            </c:strRef>
          </c:cat>
          <c:val>
            <c:numRef>
              <c:f>DATA_ENVIRONMENT!$B$2:$B$5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165</c:v>
                </c:pt>
                <c:pt idx="3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A-46E4-A23F-FFAD45180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Cities</c:v>
          </c:tx>
          <c:spPr>
            <a:solidFill>
              <a:srgbClr val="D92D20"/>
            </a:solidFill>
            <a:ln>
              <a:noFill/>
            </a:ln>
          </c:spPr>
          <c:invertIfNegative val="0"/>
          <c:cat>
            <c:strRef>
              <c:f>DATA_ENVIRONMENT_AQI!$A$2:$A$6</c:f>
              <c:strCache>
                <c:ptCount val="5"/>
                <c:pt idx="0">
                  <c:v>Good</c:v>
                </c:pt>
                <c:pt idx="1">
                  <c:v>Satisfactory</c:v>
                </c:pt>
                <c:pt idx="2">
                  <c:v>Moderate</c:v>
                </c:pt>
                <c:pt idx="3">
                  <c:v>Poor</c:v>
                </c:pt>
                <c:pt idx="4">
                  <c:v>Very Poor</c:v>
                </c:pt>
              </c:strCache>
            </c:strRef>
          </c:cat>
          <c:val>
            <c:numRef>
              <c:f>DATA_ENVIRONMENT_AQI!$B$2:$B$6</c:f>
              <c:numCache>
                <c:formatCode>General</c:formatCode>
                <c:ptCount val="5"/>
                <c:pt idx="0">
                  <c:v>22</c:v>
                </c:pt>
                <c:pt idx="1">
                  <c:v>113</c:v>
                </c:pt>
                <c:pt idx="2">
                  <c:v>71</c:v>
                </c:pt>
                <c:pt idx="3">
                  <c:v>31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2-43B1-A3FF-56084852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Share (%)</c:v>
          </c:tx>
          <c:spPr>
            <a:solidFill>
              <a:srgbClr val="6941C6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7203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DATA_POPULATION!$A$2:$A$4</c:f>
              <c:strCache>
                <c:ptCount val="3"/>
                <c:pt idx="0">
                  <c:v>0–14 years</c:v>
                </c:pt>
                <c:pt idx="1">
                  <c:v>15–64 years</c:v>
                </c:pt>
                <c:pt idx="2">
                  <c:v>65+ years</c:v>
                </c:pt>
              </c:strCache>
            </c:strRef>
          </c:cat>
          <c:val>
            <c:numRef>
              <c:f>DATA_POPULATION!$B$2:$B$4</c:f>
              <c:numCache>
                <c:formatCode>General</c:formatCode>
                <c:ptCount val="3"/>
                <c:pt idx="0">
                  <c:v>24</c:v>
                </c:pt>
                <c:pt idx="1">
                  <c:v>68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5-4BAE-AAB1-03ADA0D2F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Median Age</c:v>
          </c:tx>
          <c:spPr>
            <a:solidFill>
              <a:srgbClr val="6941C6"/>
            </a:solidFill>
            <a:ln>
              <a:noFill/>
            </a:ln>
          </c:spPr>
          <c:invertIfNegative val="0"/>
          <c:cat>
            <c:strRef>
              <c:f>DATA_POPULATION_MEDIAN!$A$2:$A$5</c:f>
              <c:strCache>
                <c:ptCount val="4"/>
                <c:pt idx="0">
                  <c:v>India</c:v>
                </c:pt>
                <c:pt idx="1">
                  <c:v>World Avg.</c:v>
                </c:pt>
                <c:pt idx="2">
                  <c:v>China</c:v>
                </c:pt>
                <c:pt idx="3">
                  <c:v>Japan</c:v>
                </c:pt>
              </c:strCache>
            </c:strRef>
          </c:cat>
          <c:val>
            <c:numRef>
              <c:f>DATA_POPULATION_MEDIAN!$B$2:$B$5</c:f>
              <c:numCache>
                <c:formatCode>General</c:formatCode>
                <c:ptCount val="4"/>
                <c:pt idx="0">
                  <c:v>28.4</c:v>
                </c:pt>
                <c:pt idx="1">
                  <c:v>30.5</c:v>
                </c:pt>
                <c:pt idx="2">
                  <c:v>39.5</c:v>
                </c:pt>
                <c:pt idx="3">
                  <c:v>49.4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3-4329-81D4-B2B07E5B4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UPI Volume (Bn)</c:v>
          </c:tx>
          <c:spPr>
            <a:ln w="31750">
              <a:solidFill>
                <a:srgbClr val="2E6DA4"/>
              </a:solidFill>
            </a:ln>
          </c:spPr>
          <c:marker>
            <c:symbol val="none"/>
          </c:marker>
          <c:cat>
            <c:strRef>
              <c:f>DATA_DIGITAL!$A$2:$A$5</c:f>
              <c:strCache>
                <c:ptCount val="4"/>
                <c:pt idx="0">
                  <c:v>CY 2022</c:v>
                </c:pt>
                <c:pt idx="1">
                  <c:v>CY 2023</c:v>
                </c:pt>
                <c:pt idx="2">
                  <c:v>CY 2024</c:v>
                </c:pt>
                <c:pt idx="3">
                  <c:v>CY 2025</c:v>
                </c:pt>
              </c:strCache>
            </c:strRef>
          </c:cat>
          <c:val>
            <c:numRef>
              <c:f>DATA_DIGITAL!$B$2:$B$5</c:f>
              <c:numCache>
                <c:formatCode>General</c:formatCode>
                <c:ptCount val="4"/>
                <c:pt idx="0">
                  <c:v>74.05</c:v>
                </c:pt>
                <c:pt idx="1">
                  <c:v>117.6</c:v>
                </c:pt>
                <c:pt idx="2">
                  <c:v>172.2</c:v>
                </c:pt>
                <c:pt idx="3">
                  <c:v>228.3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6-42B5-B0E8-36063BFB4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0001"/>
        <c:axId val="50110002"/>
      </c:lineChart>
      <c:catAx>
        <c:axId val="501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1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UPI Value (₹ lakh crore)</c:v>
          </c:tx>
          <c:spPr>
            <a:solidFill>
              <a:srgbClr val="2E6DA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7203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DATA_DIGITAL_VALUE!$A$2:$A$3</c:f>
              <c:strCache>
                <c:ptCount val="2"/>
                <c:pt idx="0">
                  <c:v>FY 2016-17</c:v>
                </c:pt>
                <c:pt idx="1">
                  <c:v>FY 2025-26</c:v>
                </c:pt>
              </c:strCache>
            </c:strRef>
          </c:cat>
          <c:val>
            <c:numRef>
              <c:f>DATA_DIGITAL_VALUE!$B$2:$B$3</c:f>
              <c:numCache>
                <c:formatCode>General</c:formatCode>
                <c:ptCount val="2"/>
                <c:pt idx="0">
                  <c:v>7.0000000000000007E-2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B-463F-A4BF-CEC7505F7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D0D5DD"/>
            </a:solidFill>
          </a:ln>
        </c:spPr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solidFill>
                  <a:srgbClr val="667085"/>
                </a:solidFill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209550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209550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209550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209550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209550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209550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209550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209550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209550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209550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6</xdr:col>
      <xdr:colOff>209550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12</xdr:col>
      <xdr:colOff>209550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pci.org.in/product/upi/product-statistics" TargetMode="External"/><Relationship Id="rId3" Type="http://schemas.openxmlformats.org/officeDocument/2006/relationships/hyperlink" Target="https://www.analytics.parivahan.gov.in/analytics/publicdashboard/vahan" TargetMode="External"/><Relationship Id="rId7" Type="http://schemas.openxmlformats.org/officeDocument/2006/relationships/hyperlink" Target="https://www.unfpa.org/data/world-population-dashboard" TargetMode="External"/><Relationship Id="rId2" Type="http://schemas.openxmlformats.org/officeDocument/2006/relationships/hyperlink" Target="https://data.gov.in/catalog/gdp-india-and-major-sectors-economy-share-each-sector-gdp-and-growth-rate-gdp-and-other" TargetMode="External"/><Relationship Id="rId1" Type="http://schemas.openxmlformats.org/officeDocument/2006/relationships/hyperlink" Target="https://mospi.gov.in/" TargetMode="External"/><Relationship Id="rId6" Type="http://schemas.openxmlformats.org/officeDocument/2006/relationships/hyperlink" Target="https://energyandcleanair.org/" TargetMode="External"/><Relationship Id="rId5" Type="http://schemas.openxmlformats.org/officeDocument/2006/relationships/hyperlink" Target="https://airquality.cpcb.gov.in/AQI_India/" TargetMode="External"/><Relationship Id="rId4" Type="http://schemas.openxmlformats.org/officeDocument/2006/relationships/hyperlink" Target="https://www.pib.gov.in/PressReleasePage.aspx?PRID=21923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1828"/>
    <pageSetUpPr fitToPage="1"/>
  </sheetPr>
  <dimension ref="B2:N35"/>
  <sheetViews>
    <sheetView showGridLines="0" tabSelected="1" zoomScale="95" zoomScaleNormal="95" workbookViewId="0">
      <selection activeCell="P18" sqref="P18"/>
    </sheetView>
  </sheetViews>
  <sheetFormatPr defaultRowHeight="14.4" x14ac:dyDescent="0.3"/>
  <cols>
    <col min="1" max="1" width="3.33203125" customWidth="1"/>
    <col min="2" max="3" width="14.6640625" customWidth="1"/>
    <col min="4" max="4" width="3.6640625" customWidth="1"/>
    <col min="5" max="6" width="14.6640625" customWidth="1"/>
    <col min="7" max="7" width="3.6640625" customWidth="1"/>
    <col min="8" max="9" width="14.6640625" customWidth="1"/>
    <col min="10" max="10" width="3.6640625" customWidth="1"/>
    <col min="11" max="14" width="14.6640625" customWidth="1"/>
  </cols>
  <sheetData>
    <row r="2" spans="2:14" x14ac:dyDescent="0.3">
      <c r="B2" s="16" t="s">
        <v>0</v>
      </c>
      <c r="C2" s="16"/>
      <c r="D2" s="16"/>
      <c r="E2" s="16"/>
      <c r="F2" s="16"/>
      <c r="G2" s="16"/>
      <c r="H2" s="16"/>
      <c r="I2" s="16"/>
    </row>
    <row r="3" spans="2:14" x14ac:dyDescent="0.3">
      <c r="B3" s="16"/>
      <c r="C3" s="16"/>
      <c r="D3" s="16"/>
      <c r="E3" s="16"/>
      <c r="F3" s="16"/>
      <c r="G3" s="16"/>
      <c r="H3" s="16"/>
      <c r="I3" s="16"/>
    </row>
    <row r="4" spans="2:14" x14ac:dyDescent="0.3">
      <c r="B4" s="16"/>
      <c r="C4" s="16"/>
      <c r="D4" s="16"/>
      <c r="E4" s="16"/>
      <c r="F4" s="16"/>
      <c r="G4" s="16"/>
      <c r="H4" s="16"/>
      <c r="I4" s="16"/>
    </row>
    <row r="5" spans="2:14" x14ac:dyDescent="0.3">
      <c r="B5" s="16"/>
      <c r="C5" s="16"/>
      <c r="D5" s="16"/>
      <c r="E5" s="16"/>
      <c r="F5" s="16"/>
      <c r="G5" s="16"/>
      <c r="H5" s="16"/>
      <c r="I5" s="16"/>
    </row>
    <row r="6" spans="2:14" ht="19.8" x14ac:dyDescent="0.4">
      <c r="B6" s="18" t="s">
        <v>2</v>
      </c>
      <c r="C6" s="18"/>
      <c r="D6" s="18"/>
      <c r="E6" s="18"/>
      <c r="F6" s="18"/>
      <c r="G6" s="18"/>
      <c r="H6" s="18"/>
      <c r="I6" s="18"/>
      <c r="J6" s="17" t="s">
        <v>1</v>
      </c>
      <c r="K6" s="17"/>
      <c r="L6" s="17"/>
      <c r="M6" s="17"/>
      <c r="N6" s="17"/>
    </row>
    <row r="7" spans="2:14" x14ac:dyDescent="0.3">
      <c r="B7" s="19" t="s">
        <v>3</v>
      </c>
      <c r="C7" s="19"/>
      <c r="D7" s="19"/>
      <c r="E7" s="19"/>
      <c r="F7" s="19"/>
      <c r="G7" s="19"/>
      <c r="H7" s="19"/>
      <c r="I7" s="19"/>
      <c r="J7" s="17"/>
      <c r="K7" s="17"/>
      <c r="L7" s="17"/>
      <c r="M7" s="17"/>
      <c r="N7" s="17"/>
    </row>
    <row r="9" spans="2:14" x14ac:dyDescent="0.3">
      <c r="B9" s="50">
        <v>6.5000000000000002E-2</v>
      </c>
      <c r="C9" s="20"/>
      <c r="D9" s="22" t="s">
        <v>5</v>
      </c>
      <c r="E9" s="22"/>
      <c r="F9" s="23" t="s">
        <v>7</v>
      </c>
      <c r="G9" s="23"/>
      <c r="H9" s="24" t="s">
        <v>9</v>
      </c>
      <c r="I9" s="24"/>
      <c r="J9" s="25" t="s">
        <v>11</v>
      </c>
      <c r="K9" s="25"/>
      <c r="L9" s="26" t="s">
        <v>13</v>
      </c>
      <c r="M9" s="26"/>
    </row>
    <row r="10" spans="2:14" x14ac:dyDescent="0.3">
      <c r="B10" s="20"/>
      <c r="C10" s="20"/>
      <c r="D10" s="22"/>
      <c r="E10" s="22"/>
      <c r="F10" s="23"/>
      <c r="G10" s="23"/>
      <c r="H10" s="24"/>
      <c r="I10" s="24"/>
      <c r="J10" s="25"/>
      <c r="K10" s="25"/>
      <c r="L10" s="26"/>
      <c r="M10" s="26"/>
    </row>
    <row r="11" spans="2:14" ht="28.05" customHeight="1" x14ac:dyDescent="0.3">
      <c r="B11" s="21" t="s">
        <v>4</v>
      </c>
      <c r="C11" s="21"/>
      <c r="D11" s="21" t="s">
        <v>6</v>
      </c>
      <c r="E11" s="21"/>
      <c r="F11" s="21" t="s">
        <v>8</v>
      </c>
      <c r="G11" s="21"/>
      <c r="H11" s="21" t="s">
        <v>10</v>
      </c>
      <c r="I11" s="21"/>
      <c r="J11" s="21" t="s">
        <v>12</v>
      </c>
      <c r="K11" s="21"/>
      <c r="L11" s="21" t="s">
        <v>14</v>
      </c>
      <c r="M11" s="21"/>
    </row>
    <row r="13" spans="2:14" ht="15.6" x14ac:dyDescent="0.3">
      <c r="B13" s="1" t="s">
        <v>15</v>
      </c>
    </row>
    <row r="15" spans="2:14" x14ac:dyDescent="0.3">
      <c r="B15" s="27" t="s">
        <v>16</v>
      </c>
      <c r="C15" s="27"/>
      <c r="D15" s="49">
        <v>6.5000000000000002E-2</v>
      </c>
      <c r="E15" s="28"/>
      <c r="F15" s="29" t="s">
        <v>17</v>
      </c>
      <c r="G15" s="29"/>
      <c r="H15" s="29"/>
      <c r="I15" s="29"/>
      <c r="J15" s="29"/>
      <c r="K15" s="29"/>
      <c r="L15" s="29"/>
      <c r="M15" s="2" t="s">
        <v>18</v>
      </c>
      <c r="N15" s="3"/>
    </row>
    <row r="16" spans="2:14" x14ac:dyDescent="0.3">
      <c r="B16" s="27"/>
      <c r="C16" s="27"/>
      <c r="D16" s="28"/>
      <c r="E16" s="28"/>
      <c r="F16" s="29"/>
      <c r="G16" s="29"/>
      <c r="H16" s="29"/>
      <c r="I16" s="29"/>
      <c r="J16" s="29"/>
      <c r="K16" s="29"/>
      <c r="L16" s="29"/>
    </row>
    <row r="18" spans="2:14" x14ac:dyDescent="0.3">
      <c r="B18" s="30" t="s">
        <v>19</v>
      </c>
      <c r="C18" s="30"/>
      <c r="D18" s="31" t="s">
        <v>5</v>
      </c>
      <c r="E18" s="31"/>
      <c r="F18" s="29" t="s">
        <v>20</v>
      </c>
      <c r="G18" s="29"/>
      <c r="H18" s="29"/>
      <c r="I18" s="29"/>
      <c r="J18" s="29"/>
      <c r="K18" s="29"/>
      <c r="L18" s="29"/>
      <c r="M18" s="4" t="s">
        <v>18</v>
      </c>
      <c r="N18" s="3"/>
    </row>
    <row r="19" spans="2:14" x14ac:dyDescent="0.3">
      <c r="B19" s="30"/>
      <c r="C19" s="30"/>
      <c r="D19" s="31"/>
      <c r="E19" s="31"/>
      <c r="F19" s="29"/>
      <c r="G19" s="29"/>
      <c r="H19" s="29"/>
      <c r="I19" s="29"/>
      <c r="J19" s="29"/>
      <c r="K19" s="29"/>
      <c r="L19" s="29"/>
    </row>
    <row r="21" spans="2:14" x14ac:dyDescent="0.3">
      <c r="B21" s="32" t="s">
        <v>21</v>
      </c>
      <c r="C21" s="32"/>
      <c r="D21" s="33" t="s">
        <v>7</v>
      </c>
      <c r="E21" s="33"/>
      <c r="F21" s="29" t="s">
        <v>22</v>
      </c>
      <c r="G21" s="29"/>
      <c r="H21" s="29"/>
      <c r="I21" s="29"/>
      <c r="J21" s="29"/>
      <c r="K21" s="29"/>
      <c r="L21" s="29"/>
      <c r="M21" s="5" t="s">
        <v>18</v>
      </c>
      <c r="N21" s="3"/>
    </row>
    <row r="22" spans="2:14" x14ac:dyDescent="0.3">
      <c r="B22" s="32"/>
      <c r="C22" s="32"/>
      <c r="D22" s="33"/>
      <c r="E22" s="33"/>
      <c r="F22" s="29"/>
      <c r="G22" s="29"/>
      <c r="H22" s="29"/>
      <c r="I22" s="29"/>
      <c r="J22" s="29"/>
      <c r="K22" s="29"/>
      <c r="L22" s="29"/>
    </row>
    <row r="24" spans="2:14" x14ac:dyDescent="0.3">
      <c r="B24" s="34" t="s">
        <v>23</v>
      </c>
      <c r="C24" s="34"/>
      <c r="D24" s="35" t="s">
        <v>11</v>
      </c>
      <c r="E24" s="35"/>
      <c r="F24" s="29" t="s">
        <v>24</v>
      </c>
      <c r="G24" s="29"/>
      <c r="H24" s="29"/>
      <c r="I24" s="29"/>
      <c r="J24" s="29"/>
      <c r="K24" s="29"/>
      <c r="L24" s="29"/>
      <c r="M24" s="6" t="s">
        <v>18</v>
      </c>
      <c r="N24" s="3"/>
    </row>
    <row r="25" spans="2:14" x14ac:dyDescent="0.3">
      <c r="B25" s="34"/>
      <c r="C25" s="34"/>
      <c r="D25" s="35"/>
      <c r="E25" s="35"/>
      <c r="F25" s="29"/>
      <c r="G25" s="29"/>
      <c r="H25" s="29"/>
      <c r="I25" s="29"/>
      <c r="J25" s="29"/>
      <c r="K25" s="29"/>
      <c r="L25" s="29"/>
    </row>
    <row r="27" spans="2:14" x14ac:dyDescent="0.3">
      <c r="B27" s="36" t="s">
        <v>25</v>
      </c>
      <c r="C27" s="36"/>
      <c r="D27" s="51">
        <v>0.68</v>
      </c>
      <c r="E27" s="37"/>
      <c r="F27" s="29" t="s">
        <v>26</v>
      </c>
      <c r="G27" s="29"/>
      <c r="H27" s="29"/>
      <c r="I27" s="29"/>
      <c r="J27" s="29"/>
      <c r="K27" s="29"/>
      <c r="L27" s="29"/>
      <c r="M27" s="7" t="s">
        <v>18</v>
      </c>
      <c r="N27" s="3"/>
    </row>
    <row r="28" spans="2:14" x14ac:dyDescent="0.3">
      <c r="B28" s="36"/>
      <c r="C28" s="36"/>
      <c r="D28" s="37"/>
      <c r="E28" s="37"/>
      <c r="F28" s="29"/>
      <c r="G28" s="29"/>
      <c r="H28" s="29"/>
      <c r="I28" s="29"/>
      <c r="J28" s="29"/>
      <c r="K28" s="29"/>
      <c r="L28" s="29"/>
    </row>
    <row r="30" spans="2:14" x14ac:dyDescent="0.3">
      <c r="B30" s="38" t="s">
        <v>27</v>
      </c>
      <c r="C30" s="38"/>
      <c r="D30" s="39" t="s">
        <v>28</v>
      </c>
      <c r="E30" s="39"/>
      <c r="F30" s="29" t="s">
        <v>29</v>
      </c>
      <c r="G30" s="29"/>
      <c r="H30" s="29"/>
      <c r="I30" s="29"/>
      <c r="J30" s="29"/>
      <c r="K30" s="29"/>
      <c r="L30" s="29"/>
      <c r="M30" s="8" t="s">
        <v>18</v>
      </c>
      <c r="N30" s="3"/>
    </row>
    <row r="31" spans="2:14" x14ac:dyDescent="0.3">
      <c r="B31" s="38"/>
      <c r="C31" s="38"/>
      <c r="D31" s="39"/>
      <c r="E31" s="39"/>
      <c r="F31" s="29"/>
      <c r="G31" s="29"/>
      <c r="H31" s="29"/>
      <c r="I31" s="29"/>
      <c r="J31" s="29"/>
      <c r="K31" s="29"/>
      <c r="L31" s="29"/>
    </row>
    <row r="33" spans="2:14" x14ac:dyDescent="0.3">
      <c r="B33" s="40" t="s">
        <v>30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2:14" x14ac:dyDescent="0.3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</row>
    <row r="35" spans="2:14" x14ac:dyDescent="0.3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</sheetData>
  <mergeCells count="35">
    <mergeCell ref="B33:N35"/>
    <mergeCell ref="B27:C28"/>
    <mergeCell ref="D27:E28"/>
    <mergeCell ref="F27:L28"/>
    <mergeCell ref="B30:C31"/>
    <mergeCell ref="D30:E31"/>
    <mergeCell ref="F30:L31"/>
    <mergeCell ref="B21:C22"/>
    <mergeCell ref="D21:E22"/>
    <mergeCell ref="F21:L22"/>
    <mergeCell ref="B24:C25"/>
    <mergeCell ref="D24:E25"/>
    <mergeCell ref="F24:L25"/>
    <mergeCell ref="B15:C16"/>
    <mergeCell ref="D15:E16"/>
    <mergeCell ref="F15:L16"/>
    <mergeCell ref="B18:C19"/>
    <mergeCell ref="D18:E19"/>
    <mergeCell ref="F18:L19"/>
    <mergeCell ref="H11:I11"/>
    <mergeCell ref="J9:K10"/>
    <mergeCell ref="J11:K11"/>
    <mergeCell ref="L9:M10"/>
    <mergeCell ref="L11:M11"/>
    <mergeCell ref="B11:C11"/>
    <mergeCell ref="D9:E10"/>
    <mergeCell ref="D11:E11"/>
    <mergeCell ref="F9:G10"/>
    <mergeCell ref="F11:G11"/>
    <mergeCell ref="B2:I5"/>
    <mergeCell ref="J6:N7"/>
    <mergeCell ref="B6:I6"/>
    <mergeCell ref="B7:I7"/>
    <mergeCell ref="B9:C10"/>
    <mergeCell ref="H9:I10"/>
  </mergeCells>
  <hyperlinks>
    <hyperlink ref="M15" location="'01_ECONOMY'!A1" display="OPEN →" xr:uid="{00000000-0004-0000-0000-000000000000}"/>
    <hyperlink ref="M18" location="'02_MOBILITY'!A1" display="OPEN →" xr:uid="{00000000-0004-0000-0000-000001000000}"/>
    <hyperlink ref="M21" location="'03_AGRICULTURE'!A1" display="OPEN →" xr:uid="{00000000-0004-0000-0000-000002000000}"/>
    <hyperlink ref="M24" location="'04_ENVIRONMENT'!A1" display="OPEN →" xr:uid="{00000000-0004-0000-0000-000003000000}"/>
    <hyperlink ref="M27" location="'05_POPULATION'!A1" display="OPEN →" xr:uid="{00000000-0004-0000-0000-000004000000}"/>
    <hyperlink ref="M30" location="'06_DIGITAL'!A1" display="OPEN →" xr:uid="{00000000-0004-0000-0000-000005000000}"/>
  </hyperlinks>
  <pageMargins left="0.15" right="0.15" top="0.2" bottom="0.2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9009"/>
    <pageSetUpPr fitToPage="1"/>
  </sheetPr>
  <dimension ref="B1:N36"/>
  <sheetViews>
    <sheetView showGridLines="0" topLeftCell="A4" zoomScale="95" zoomScaleNormal="95" workbookViewId="0">
      <selection activeCell="N8" sqref="N8"/>
    </sheetView>
  </sheetViews>
  <sheetFormatPr defaultRowHeight="14.4" x14ac:dyDescent="0.3"/>
  <cols>
    <col min="1" max="1" width="3.33203125" customWidth="1"/>
    <col min="2" max="3" width="14.6640625" customWidth="1"/>
    <col min="4" max="4" width="3.6640625" customWidth="1"/>
    <col min="5" max="6" width="14.6640625" customWidth="1"/>
    <col min="7" max="7" width="3.6640625" customWidth="1"/>
    <col min="8" max="9" width="14.6640625" customWidth="1"/>
    <col min="10" max="10" width="3.6640625" customWidth="1"/>
    <col min="11" max="14" width="14.6640625" customWidth="1"/>
  </cols>
  <sheetData>
    <row r="1" spans="2:14" x14ac:dyDescent="0.3">
      <c r="B1" s="9" t="s">
        <v>33</v>
      </c>
    </row>
    <row r="2" spans="2:14" ht="34.049999999999997" customHeight="1" x14ac:dyDescent="0.3">
      <c r="B2" s="41" t="s">
        <v>31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2:14" ht="17.399999999999999" x14ac:dyDescent="0.35">
      <c r="B3" s="42" t="s">
        <v>32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5" spans="2:14" x14ac:dyDescent="0.3">
      <c r="B5" s="50">
        <v>6.5000000000000002E-2</v>
      </c>
      <c r="C5" s="20"/>
      <c r="E5" s="20" t="s">
        <v>35</v>
      </c>
      <c r="F5" s="20"/>
      <c r="H5" s="50">
        <v>6.4000000000000001E-2</v>
      </c>
      <c r="I5" s="20"/>
      <c r="K5" s="50">
        <v>7.0999999999999994E-2</v>
      </c>
      <c r="L5" s="20"/>
    </row>
    <row r="6" spans="2:14" x14ac:dyDescent="0.3">
      <c r="B6" s="20"/>
      <c r="C6" s="20"/>
      <c r="E6" s="20"/>
      <c r="F6" s="20"/>
      <c r="H6" s="20"/>
      <c r="I6" s="20"/>
      <c r="K6" s="20"/>
      <c r="L6" s="20"/>
    </row>
    <row r="7" spans="2:14" x14ac:dyDescent="0.3">
      <c r="B7" s="21" t="s">
        <v>34</v>
      </c>
      <c r="C7" s="21"/>
      <c r="E7" s="21" t="s">
        <v>36</v>
      </c>
      <c r="F7" s="21"/>
      <c r="H7" s="21" t="s">
        <v>37</v>
      </c>
      <c r="I7" s="21"/>
      <c r="K7" s="21" t="s">
        <v>38</v>
      </c>
      <c r="L7" s="21"/>
    </row>
    <row r="10" spans="2:14" ht="15.6" x14ac:dyDescent="0.3">
      <c r="B10" s="1" t="s">
        <v>39</v>
      </c>
      <c r="H10" s="1" t="s">
        <v>40</v>
      </c>
    </row>
    <row r="27" spans="2:14" x14ac:dyDescent="0.3">
      <c r="B27" s="43" t="s">
        <v>41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spans="2:14" x14ac:dyDescent="0.3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spans="2:14" x14ac:dyDescent="0.3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spans="2:14" x14ac:dyDescent="0.3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spans="2:14" x14ac:dyDescent="0.3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spans="2:14" x14ac:dyDescent="0.3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spans="2:14" x14ac:dyDescent="0.3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spans="2:14" x14ac:dyDescent="0.3">
      <c r="B34" s="10" t="s">
        <v>33</v>
      </c>
      <c r="N34" s="11" t="s">
        <v>43</v>
      </c>
    </row>
    <row r="35" spans="2:14" x14ac:dyDescent="0.3">
      <c r="B35" s="40" t="s">
        <v>42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spans="2:14" x14ac:dyDescent="0.3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</sheetData>
  <mergeCells count="12">
    <mergeCell ref="B27:N33"/>
    <mergeCell ref="B35:N36"/>
    <mergeCell ref="B2:N2"/>
    <mergeCell ref="B3:N3"/>
    <mergeCell ref="B5:C6"/>
    <mergeCell ref="B7:C7"/>
    <mergeCell ref="E5:F6"/>
    <mergeCell ref="E7:F7"/>
    <mergeCell ref="H5:I6"/>
    <mergeCell ref="H7:I7"/>
    <mergeCell ref="K5:L6"/>
    <mergeCell ref="K7:L7"/>
  </mergeCells>
  <hyperlinks>
    <hyperlink ref="B1" location="'00_HOME'!A1" display="← HOME" xr:uid="{00000000-0004-0000-0100-000000000000}"/>
    <hyperlink ref="B34" location="'00_HOME'!A1" display="← HOME" xr:uid="{00000000-0004-0000-0100-000001000000}"/>
    <hyperlink ref="N34" location="'07_SOURCES'!A1" display="SOURCES →" xr:uid="{00000000-0004-0000-0100-000002000000}"/>
  </hyperlinks>
  <pageMargins left="0.15" right="0.15" top="0.2" bottom="0.2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39855"/>
    <pageSetUpPr fitToPage="1"/>
  </sheetPr>
  <dimension ref="B1:N36"/>
  <sheetViews>
    <sheetView showGridLines="0" zoomScale="95" zoomScaleNormal="95" workbookViewId="0">
      <selection activeCell="N34" sqref="N34"/>
    </sheetView>
  </sheetViews>
  <sheetFormatPr defaultRowHeight="14.4" x14ac:dyDescent="0.3"/>
  <cols>
    <col min="1" max="1" width="3.33203125" customWidth="1"/>
    <col min="2" max="3" width="14.6640625" customWidth="1"/>
    <col min="4" max="4" width="3.6640625" customWidth="1"/>
    <col min="5" max="6" width="14.6640625" customWidth="1"/>
    <col min="7" max="7" width="3.6640625" customWidth="1"/>
    <col min="8" max="9" width="14.6640625" customWidth="1"/>
    <col min="10" max="10" width="3.6640625" customWidth="1"/>
    <col min="11" max="14" width="14.6640625" customWidth="1"/>
  </cols>
  <sheetData>
    <row r="1" spans="2:14" x14ac:dyDescent="0.3">
      <c r="B1" s="9" t="s">
        <v>33</v>
      </c>
    </row>
    <row r="2" spans="2:14" ht="34.049999999999997" customHeight="1" x14ac:dyDescent="0.3">
      <c r="B2" s="41" t="s">
        <v>44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2:14" ht="17.399999999999999" x14ac:dyDescent="0.35">
      <c r="B3" s="42" t="s">
        <v>45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5" spans="2:14" x14ac:dyDescent="0.3">
      <c r="B5" s="22" t="s">
        <v>46</v>
      </c>
      <c r="C5" s="22"/>
      <c r="E5" s="52">
        <v>0.29799999999999999</v>
      </c>
      <c r="F5" s="22"/>
      <c r="H5" s="52">
        <v>8.5999999999999993E-2</v>
      </c>
      <c r="I5" s="22"/>
      <c r="K5" s="22" t="s">
        <v>50</v>
      </c>
      <c r="L5" s="22"/>
    </row>
    <row r="6" spans="2:14" x14ac:dyDescent="0.3">
      <c r="B6" s="22"/>
      <c r="C6" s="22"/>
      <c r="E6" s="22"/>
      <c r="F6" s="22"/>
      <c r="H6" s="22"/>
      <c r="I6" s="22"/>
      <c r="K6" s="22"/>
      <c r="L6" s="22"/>
    </row>
    <row r="7" spans="2:14" x14ac:dyDescent="0.3">
      <c r="B7" s="21" t="s">
        <v>47</v>
      </c>
      <c r="C7" s="21"/>
      <c r="E7" s="21" t="s">
        <v>48</v>
      </c>
      <c r="F7" s="21"/>
      <c r="H7" s="21" t="s">
        <v>49</v>
      </c>
      <c r="I7" s="21"/>
      <c r="K7" s="21" t="s">
        <v>51</v>
      </c>
      <c r="L7" s="21"/>
    </row>
    <row r="10" spans="2:14" ht="15.6" x14ac:dyDescent="0.3">
      <c r="B10" s="1" t="s">
        <v>52</v>
      </c>
      <c r="H10" s="1" t="s">
        <v>53</v>
      </c>
    </row>
    <row r="27" spans="2:14" x14ac:dyDescent="0.3">
      <c r="B27" s="44" t="s">
        <v>54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2:14" x14ac:dyDescent="0.3"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2:14" x14ac:dyDescent="0.3"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2:14" x14ac:dyDescent="0.3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2:14" x14ac:dyDescent="0.3"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2:14" x14ac:dyDescent="0.3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spans="2:14" x14ac:dyDescent="0.3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2:14" x14ac:dyDescent="0.3">
      <c r="B34" s="10" t="s">
        <v>33</v>
      </c>
      <c r="N34" s="11" t="s">
        <v>43</v>
      </c>
    </row>
    <row r="35" spans="2:14" x14ac:dyDescent="0.3">
      <c r="B35" s="40" t="s">
        <v>55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spans="2:14" x14ac:dyDescent="0.3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</sheetData>
  <mergeCells count="12">
    <mergeCell ref="B27:N33"/>
    <mergeCell ref="B35:N36"/>
    <mergeCell ref="B2:N2"/>
    <mergeCell ref="B3:N3"/>
    <mergeCell ref="B5:C6"/>
    <mergeCell ref="B7:C7"/>
    <mergeCell ref="E5:F6"/>
    <mergeCell ref="E7:F7"/>
    <mergeCell ref="H5:I6"/>
    <mergeCell ref="H7:I7"/>
    <mergeCell ref="K5:L6"/>
    <mergeCell ref="K7:L7"/>
  </mergeCells>
  <hyperlinks>
    <hyperlink ref="B1" location="'00_HOME'!A1" display="← HOME" xr:uid="{00000000-0004-0000-0200-000000000000}"/>
    <hyperlink ref="B34" location="'00_HOME'!A1" display="← HOME" xr:uid="{00000000-0004-0000-0200-000001000000}"/>
    <hyperlink ref="N34" location="'07_SOURCES'!A1" display="SOURCES →" xr:uid="{00000000-0004-0000-0200-000002000000}"/>
  </hyperlinks>
  <pageMargins left="0.15" right="0.15" top="0.2" bottom="0.2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0A12B"/>
    <pageSetUpPr fitToPage="1"/>
  </sheetPr>
  <dimension ref="B1:N36"/>
  <sheetViews>
    <sheetView showGridLines="0" topLeftCell="A4" zoomScale="95" zoomScaleNormal="95" workbookViewId="0">
      <selection activeCell="N9" sqref="N9"/>
    </sheetView>
  </sheetViews>
  <sheetFormatPr defaultRowHeight="14.4" x14ac:dyDescent="0.3"/>
  <cols>
    <col min="1" max="1" width="3.33203125" customWidth="1"/>
    <col min="2" max="3" width="14.6640625" customWidth="1"/>
    <col min="4" max="4" width="3.6640625" customWidth="1"/>
    <col min="5" max="6" width="14.6640625" customWidth="1"/>
    <col min="7" max="7" width="3.6640625" customWidth="1"/>
    <col min="8" max="9" width="14.6640625" customWidth="1"/>
    <col min="10" max="10" width="3.6640625" customWidth="1"/>
    <col min="11" max="14" width="14.6640625" customWidth="1"/>
  </cols>
  <sheetData>
    <row r="1" spans="2:14" x14ac:dyDescent="0.3">
      <c r="B1" s="9" t="s">
        <v>33</v>
      </c>
    </row>
    <row r="2" spans="2:14" ht="34.049999999999997" customHeight="1" x14ac:dyDescent="0.3">
      <c r="B2" s="41" t="s">
        <v>56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2:14" ht="17.399999999999999" x14ac:dyDescent="0.35">
      <c r="B3" s="42" t="s">
        <v>57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5" spans="2:14" x14ac:dyDescent="0.3">
      <c r="B5" s="23" t="s">
        <v>7</v>
      </c>
      <c r="C5" s="23"/>
      <c r="E5" s="53">
        <v>7.5999999999999998E-2</v>
      </c>
      <c r="F5" s="23"/>
      <c r="H5" s="23" t="s">
        <v>60</v>
      </c>
      <c r="I5" s="23"/>
      <c r="K5" s="23" t="s">
        <v>62</v>
      </c>
      <c r="L5" s="23"/>
    </row>
    <row r="6" spans="2:14" x14ac:dyDescent="0.3">
      <c r="B6" s="23"/>
      <c r="C6" s="23"/>
      <c r="E6" s="23"/>
      <c r="F6" s="23"/>
      <c r="H6" s="23"/>
      <c r="I6" s="23"/>
      <c r="K6" s="23"/>
      <c r="L6" s="23"/>
    </row>
    <row r="7" spans="2:14" x14ac:dyDescent="0.3">
      <c r="B7" s="21" t="s">
        <v>58</v>
      </c>
      <c r="C7" s="21"/>
      <c r="E7" s="21" t="s">
        <v>59</v>
      </c>
      <c r="F7" s="21"/>
      <c r="H7" s="21" t="s">
        <v>61</v>
      </c>
      <c r="I7" s="21"/>
      <c r="K7" s="21" t="s">
        <v>63</v>
      </c>
      <c r="L7" s="21"/>
    </row>
    <row r="10" spans="2:14" ht="15.6" x14ac:dyDescent="0.3">
      <c r="B10" s="1" t="s">
        <v>64</v>
      </c>
      <c r="H10" s="1" t="s">
        <v>65</v>
      </c>
    </row>
    <row r="27" spans="2:14" x14ac:dyDescent="0.3">
      <c r="B27" s="45" t="s">
        <v>66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 spans="2:14" x14ac:dyDescent="0.3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2:14" x14ac:dyDescent="0.3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2:14" x14ac:dyDescent="0.3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2:14" x14ac:dyDescent="0.3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2:14" x14ac:dyDescent="0.3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2:14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2:14" x14ac:dyDescent="0.3">
      <c r="B34" s="10" t="s">
        <v>33</v>
      </c>
      <c r="N34" s="11" t="s">
        <v>43</v>
      </c>
    </row>
    <row r="35" spans="2:14" x14ac:dyDescent="0.3">
      <c r="B35" s="40" t="s">
        <v>67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spans="2:14" x14ac:dyDescent="0.3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</sheetData>
  <mergeCells count="12">
    <mergeCell ref="B27:N33"/>
    <mergeCell ref="B35:N36"/>
    <mergeCell ref="B2:N2"/>
    <mergeCell ref="B3:N3"/>
    <mergeCell ref="B5:C6"/>
    <mergeCell ref="B7:C7"/>
    <mergeCell ref="E5:F6"/>
    <mergeCell ref="E7:F7"/>
    <mergeCell ref="H5:I6"/>
    <mergeCell ref="H7:I7"/>
    <mergeCell ref="K5:L6"/>
    <mergeCell ref="K7:L7"/>
  </mergeCells>
  <hyperlinks>
    <hyperlink ref="B1" location="'00_HOME'!A1" display="← HOME" xr:uid="{00000000-0004-0000-0300-000000000000}"/>
    <hyperlink ref="B34" location="'00_HOME'!A1" display="← HOME" xr:uid="{00000000-0004-0000-0300-000001000000}"/>
    <hyperlink ref="N34" location="'07_SOURCES'!A1" display="SOURCES →" xr:uid="{00000000-0004-0000-0300-000002000000}"/>
  </hyperlinks>
  <pageMargins left="0.15" right="0.15" top="0.2" bottom="0.2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2D20"/>
    <pageSetUpPr fitToPage="1"/>
  </sheetPr>
  <dimension ref="B1:N36"/>
  <sheetViews>
    <sheetView showGridLines="0" zoomScale="95" zoomScaleNormal="95" workbookViewId="0"/>
  </sheetViews>
  <sheetFormatPr defaultRowHeight="14.4" x14ac:dyDescent="0.3"/>
  <cols>
    <col min="1" max="1" width="3.33203125" customWidth="1"/>
    <col min="2" max="3" width="14.6640625" customWidth="1"/>
    <col min="4" max="4" width="3.6640625" customWidth="1"/>
    <col min="5" max="6" width="14.6640625" customWidth="1"/>
    <col min="7" max="7" width="3.6640625" customWidth="1"/>
    <col min="8" max="9" width="14.6640625" customWidth="1"/>
    <col min="10" max="10" width="3.6640625" customWidth="1"/>
    <col min="11" max="14" width="14.6640625" customWidth="1"/>
  </cols>
  <sheetData>
    <row r="1" spans="2:14" x14ac:dyDescent="0.3">
      <c r="B1" s="9" t="s">
        <v>33</v>
      </c>
    </row>
    <row r="2" spans="2:14" ht="34.049999999999997" customHeight="1" x14ac:dyDescent="0.3">
      <c r="B2" s="41" t="s">
        <v>68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2:14" ht="17.399999999999999" x14ac:dyDescent="0.35">
      <c r="B3" s="42" t="s">
        <v>69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5" spans="2:14" x14ac:dyDescent="0.3">
      <c r="B5" s="25" t="s">
        <v>11</v>
      </c>
      <c r="C5" s="25"/>
      <c r="E5" s="25" t="s">
        <v>71</v>
      </c>
      <c r="F5" s="25"/>
      <c r="H5" s="25" t="s">
        <v>73</v>
      </c>
      <c r="I5" s="25"/>
      <c r="K5" s="25" t="s">
        <v>75</v>
      </c>
      <c r="L5" s="25"/>
    </row>
    <row r="6" spans="2:14" x14ac:dyDescent="0.3">
      <c r="B6" s="25"/>
      <c r="C6" s="25"/>
      <c r="E6" s="25"/>
      <c r="F6" s="25"/>
      <c r="H6" s="25"/>
      <c r="I6" s="25"/>
      <c r="K6" s="25"/>
      <c r="L6" s="25"/>
    </row>
    <row r="7" spans="2:14" x14ac:dyDescent="0.3">
      <c r="B7" s="21" t="s">
        <v>70</v>
      </c>
      <c r="C7" s="21"/>
      <c r="E7" s="21" t="s">
        <v>72</v>
      </c>
      <c r="F7" s="21"/>
      <c r="H7" s="21" t="s">
        <v>74</v>
      </c>
      <c r="I7" s="21"/>
      <c r="K7" s="21" t="s">
        <v>76</v>
      </c>
      <c r="L7" s="21"/>
    </row>
    <row r="10" spans="2:14" ht="15.6" x14ac:dyDescent="0.3">
      <c r="B10" s="1" t="s">
        <v>77</v>
      </c>
      <c r="H10" s="1" t="s">
        <v>78</v>
      </c>
    </row>
    <row r="27" spans="2:14" x14ac:dyDescent="0.3">
      <c r="B27" s="46" t="s">
        <v>79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</row>
    <row r="28" spans="2:14" x14ac:dyDescent="0.3"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spans="2:14" x14ac:dyDescent="0.3"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spans="2:14" x14ac:dyDescent="0.3"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spans="2:14" x14ac:dyDescent="0.3"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spans="2:14" x14ac:dyDescent="0.3"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2:14" x14ac:dyDescent="0.3"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2:14" x14ac:dyDescent="0.3">
      <c r="B34" s="10" t="s">
        <v>33</v>
      </c>
      <c r="N34" s="11" t="s">
        <v>43</v>
      </c>
    </row>
    <row r="35" spans="2:14" x14ac:dyDescent="0.3">
      <c r="B35" s="40" t="s">
        <v>80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spans="2:14" x14ac:dyDescent="0.3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</sheetData>
  <mergeCells count="12">
    <mergeCell ref="B27:N33"/>
    <mergeCell ref="B35:N36"/>
    <mergeCell ref="B2:N2"/>
    <mergeCell ref="B3:N3"/>
    <mergeCell ref="B5:C6"/>
    <mergeCell ref="B7:C7"/>
    <mergeCell ref="E5:F6"/>
    <mergeCell ref="E7:F7"/>
    <mergeCell ref="H5:I6"/>
    <mergeCell ref="H7:I7"/>
    <mergeCell ref="K5:L6"/>
    <mergeCell ref="K7:L7"/>
  </mergeCells>
  <hyperlinks>
    <hyperlink ref="B1" location="'00_HOME'!A1" display="← HOME" xr:uid="{00000000-0004-0000-0400-000000000000}"/>
    <hyperlink ref="B34" location="'00_HOME'!A1" display="← HOME" xr:uid="{00000000-0004-0000-0400-000001000000}"/>
    <hyperlink ref="N34" location="'07_SOURCES'!A1" display="SOURCES →" xr:uid="{00000000-0004-0000-0400-000002000000}"/>
  </hyperlinks>
  <pageMargins left="0.15" right="0.15" top="0.2" bottom="0.2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941C6"/>
    <pageSetUpPr fitToPage="1"/>
  </sheetPr>
  <dimension ref="B1:N36"/>
  <sheetViews>
    <sheetView showGridLines="0" topLeftCell="A7" zoomScale="95" zoomScaleNormal="95" workbookViewId="0">
      <selection activeCell="M12" sqref="M12"/>
    </sheetView>
  </sheetViews>
  <sheetFormatPr defaultRowHeight="14.4" x14ac:dyDescent="0.3"/>
  <cols>
    <col min="1" max="1" width="3.33203125" customWidth="1"/>
    <col min="2" max="3" width="14.6640625" customWidth="1"/>
    <col min="4" max="4" width="3.6640625" customWidth="1"/>
    <col min="5" max="6" width="14.6640625" customWidth="1"/>
    <col min="7" max="7" width="3.6640625" customWidth="1"/>
    <col min="8" max="9" width="14.6640625" customWidth="1"/>
    <col min="10" max="10" width="3.6640625" customWidth="1"/>
    <col min="11" max="14" width="14.6640625" customWidth="1"/>
  </cols>
  <sheetData>
    <row r="1" spans="2:14" x14ac:dyDescent="0.3">
      <c r="B1" s="9" t="s">
        <v>33</v>
      </c>
    </row>
    <row r="2" spans="2:14" ht="34.049999999999997" customHeight="1" x14ac:dyDescent="0.3">
      <c r="B2" s="41" t="s">
        <v>81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2:14" ht="17.399999999999999" x14ac:dyDescent="0.35">
      <c r="B3" s="42" t="s">
        <v>82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5" spans="2:14" x14ac:dyDescent="0.3">
      <c r="B5" s="24" t="s">
        <v>9</v>
      </c>
      <c r="C5" s="24"/>
      <c r="E5" s="24" t="s">
        <v>84</v>
      </c>
      <c r="F5" s="24"/>
      <c r="H5" s="54">
        <v>0.68</v>
      </c>
      <c r="I5" s="24"/>
      <c r="K5" s="24" t="s">
        <v>87</v>
      </c>
      <c r="L5" s="24"/>
    </row>
    <row r="6" spans="2:14" x14ac:dyDescent="0.3">
      <c r="B6" s="24"/>
      <c r="C6" s="24"/>
      <c r="E6" s="24"/>
      <c r="F6" s="24"/>
      <c r="H6" s="24"/>
      <c r="I6" s="24"/>
      <c r="K6" s="24"/>
      <c r="L6" s="24"/>
    </row>
    <row r="7" spans="2:14" x14ac:dyDescent="0.3">
      <c r="B7" s="21" t="s">
        <v>83</v>
      </c>
      <c r="C7" s="21"/>
      <c r="E7" s="21" t="s">
        <v>85</v>
      </c>
      <c r="F7" s="21"/>
      <c r="H7" s="21" t="s">
        <v>86</v>
      </c>
      <c r="I7" s="21"/>
      <c r="K7" s="21" t="s">
        <v>88</v>
      </c>
      <c r="L7" s="21"/>
    </row>
    <row r="10" spans="2:14" ht="15.6" x14ac:dyDescent="0.3">
      <c r="B10" s="1" t="s">
        <v>89</v>
      </c>
      <c r="H10" s="1" t="s">
        <v>90</v>
      </c>
    </row>
    <row r="27" spans="2:14" x14ac:dyDescent="0.3">
      <c r="B27" s="47" t="s">
        <v>91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</row>
    <row r="28" spans="2:14" x14ac:dyDescent="0.3"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</row>
    <row r="29" spans="2:14" x14ac:dyDescent="0.3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</row>
    <row r="30" spans="2:14" x14ac:dyDescent="0.3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</row>
    <row r="31" spans="2:14" x14ac:dyDescent="0.3"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</row>
    <row r="32" spans="2:14" x14ac:dyDescent="0.3"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</row>
    <row r="33" spans="2:14" x14ac:dyDescent="0.3"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4" spans="2:14" x14ac:dyDescent="0.3">
      <c r="B34" s="10" t="s">
        <v>33</v>
      </c>
      <c r="N34" s="11" t="s">
        <v>43</v>
      </c>
    </row>
    <row r="35" spans="2:14" x14ac:dyDescent="0.3">
      <c r="B35" s="40" t="s">
        <v>92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spans="2:14" x14ac:dyDescent="0.3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</sheetData>
  <mergeCells count="12">
    <mergeCell ref="B27:N33"/>
    <mergeCell ref="B35:N36"/>
    <mergeCell ref="B2:N2"/>
    <mergeCell ref="B3:N3"/>
    <mergeCell ref="B5:C6"/>
    <mergeCell ref="B7:C7"/>
    <mergeCell ref="E5:F6"/>
    <mergeCell ref="E7:F7"/>
    <mergeCell ref="H5:I6"/>
    <mergeCell ref="H7:I7"/>
    <mergeCell ref="K5:L6"/>
    <mergeCell ref="K7:L7"/>
  </mergeCells>
  <hyperlinks>
    <hyperlink ref="B1" location="'00_HOME'!A1" display="← HOME" xr:uid="{00000000-0004-0000-0500-000000000000}"/>
    <hyperlink ref="B34" location="'00_HOME'!A1" display="← HOME" xr:uid="{00000000-0004-0000-0500-000001000000}"/>
    <hyperlink ref="N34" location="'07_SOURCES'!A1" display="SOURCES →" xr:uid="{00000000-0004-0000-0500-000002000000}"/>
  </hyperlinks>
  <pageMargins left="0.15" right="0.15" top="0.2" bottom="0.2" header="0.3" footer="0.3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6DA4"/>
    <pageSetUpPr fitToPage="1"/>
  </sheetPr>
  <dimension ref="B1:N36"/>
  <sheetViews>
    <sheetView showGridLines="0" zoomScale="95" zoomScaleNormal="95" workbookViewId="0">
      <selection activeCell="N34" sqref="N34"/>
    </sheetView>
  </sheetViews>
  <sheetFormatPr defaultRowHeight="14.4" x14ac:dyDescent="0.3"/>
  <cols>
    <col min="1" max="1" width="3.33203125" customWidth="1"/>
    <col min="2" max="3" width="14.6640625" customWidth="1"/>
    <col min="4" max="4" width="3.6640625" customWidth="1"/>
    <col min="5" max="6" width="14.6640625" customWidth="1"/>
    <col min="7" max="7" width="3.6640625" customWidth="1"/>
    <col min="8" max="9" width="14.6640625" customWidth="1"/>
    <col min="10" max="10" width="3.6640625" customWidth="1"/>
    <col min="11" max="14" width="14.6640625" customWidth="1"/>
  </cols>
  <sheetData>
    <row r="1" spans="2:14" x14ac:dyDescent="0.3">
      <c r="B1" s="9" t="s">
        <v>33</v>
      </c>
    </row>
    <row r="2" spans="2:14" ht="34.049999999999997" customHeight="1" x14ac:dyDescent="0.3">
      <c r="B2" s="41" t="s">
        <v>93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2:14" ht="17.399999999999999" x14ac:dyDescent="0.35">
      <c r="B3" s="42" t="s">
        <v>94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5" spans="2:14" x14ac:dyDescent="0.3">
      <c r="B5" s="26" t="s">
        <v>95</v>
      </c>
      <c r="C5" s="26"/>
      <c r="E5" s="26" t="s">
        <v>97</v>
      </c>
      <c r="F5" s="26"/>
      <c r="H5" s="26" t="s">
        <v>99</v>
      </c>
      <c r="I5" s="26"/>
      <c r="K5" s="55">
        <v>731</v>
      </c>
      <c r="L5" s="26"/>
    </row>
    <row r="6" spans="2:14" x14ac:dyDescent="0.3">
      <c r="B6" s="26"/>
      <c r="C6" s="26"/>
      <c r="E6" s="26"/>
      <c r="F6" s="26"/>
      <c r="H6" s="26"/>
      <c r="I6" s="26"/>
      <c r="K6" s="26"/>
      <c r="L6" s="26"/>
    </row>
    <row r="7" spans="2:14" x14ac:dyDescent="0.3">
      <c r="B7" s="21" t="s">
        <v>96</v>
      </c>
      <c r="C7" s="21"/>
      <c r="E7" s="21" t="s">
        <v>98</v>
      </c>
      <c r="F7" s="21"/>
      <c r="H7" s="21" t="s">
        <v>100</v>
      </c>
      <c r="I7" s="21"/>
      <c r="K7" s="21" t="s">
        <v>101</v>
      </c>
      <c r="L7" s="21"/>
    </row>
    <row r="10" spans="2:14" ht="15.6" x14ac:dyDescent="0.3">
      <c r="B10" s="1" t="s">
        <v>102</v>
      </c>
      <c r="H10" s="1" t="s">
        <v>103</v>
      </c>
    </row>
    <row r="27" spans="2:14" x14ac:dyDescent="0.3">
      <c r="B27" s="48" t="s">
        <v>104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</row>
    <row r="28" spans="2:14" x14ac:dyDescent="0.3"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</row>
    <row r="29" spans="2:14" x14ac:dyDescent="0.3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</row>
    <row r="30" spans="2:14" x14ac:dyDescent="0.3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</row>
    <row r="31" spans="2:14" x14ac:dyDescent="0.3"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</row>
    <row r="32" spans="2:14" x14ac:dyDescent="0.3"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2:14" x14ac:dyDescent="0.3"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4" spans="2:14" x14ac:dyDescent="0.3">
      <c r="B34" s="10" t="s">
        <v>33</v>
      </c>
      <c r="N34" s="11" t="s">
        <v>43</v>
      </c>
    </row>
    <row r="35" spans="2:14" x14ac:dyDescent="0.3">
      <c r="B35" s="40" t="s">
        <v>105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spans="2:14" x14ac:dyDescent="0.3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</row>
  </sheetData>
  <mergeCells count="12">
    <mergeCell ref="B27:N33"/>
    <mergeCell ref="B35:N36"/>
    <mergeCell ref="B2:N2"/>
    <mergeCell ref="B3:N3"/>
    <mergeCell ref="B5:C6"/>
    <mergeCell ref="B7:C7"/>
    <mergeCell ref="E5:F6"/>
    <mergeCell ref="E7:F7"/>
    <mergeCell ref="H5:I6"/>
    <mergeCell ref="H7:I7"/>
    <mergeCell ref="K5:L6"/>
    <mergeCell ref="K7:L7"/>
  </mergeCells>
  <hyperlinks>
    <hyperlink ref="B1" location="'00_HOME'!A1" display="← HOME" xr:uid="{00000000-0004-0000-0600-000000000000}"/>
    <hyperlink ref="B34" location="'00_HOME'!A1" display="← HOME" xr:uid="{00000000-0004-0000-0600-000001000000}"/>
    <hyperlink ref="N34" location="'07_SOURCES'!A1" display="SOURCES →" xr:uid="{00000000-0004-0000-0600-000002000000}"/>
  </hyperlinks>
  <pageMargins left="0.15" right="0.15" top="0.2" bottom="0.2" header="0.3" footer="0.3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72033"/>
    <pageSetUpPr fitToPage="1"/>
  </sheetPr>
  <dimension ref="B1:N21"/>
  <sheetViews>
    <sheetView showGridLines="0" zoomScale="95" zoomScaleNormal="95" workbookViewId="0"/>
  </sheetViews>
  <sheetFormatPr defaultRowHeight="14.4" x14ac:dyDescent="0.3"/>
  <cols>
    <col min="1" max="1" width="3.33203125" customWidth="1"/>
    <col min="2" max="2" width="16.6640625" customWidth="1"/>
    <col min="3" max="3" width="36.6640625" customWidth="1"/>
    <col min="4" max="4" width="32.6640625" customWidth="1"/>
    <col min="5" max="5" width="15.6640625" customWidth="1"/>
    <col min="6" max="6" width="12.6640625" customWidth="1"/>
    <col min="7" max="7" width="3.6640625" customWidth="1"/>
    <col min="8" max="9" width="14.6640625" customWidth="1"/>
    <col min="10" max="10" width="3.6640625" customWidth="1"/>
    <col min="11" max="14" width="14.6640625" customWidth="1"/>
  </cols>
  <sheetData>
    <row r="1" spans="2:14" x14ac:dyDescent="0.3">
      <c r="B1" s="12" t="s">
        <v>33</v>
      </c>
    </row>
    <row r="2" spans="2:14" x14ac:dyDescent="0.3">
      <c r="B2" s="41" t="s">
        <v>106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2:14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</row>
    <row r="4" spans="2:14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6" spans="2:14" x14ac:dyDescent="0.3">
      <c r="B6" s="13" t="s">
        <v>107</v>
      </c>
      <c r="C6" s="13" t="s">
        <v>108</v>
      </c>
      <c r="D6" s="13" t="s">
        <v>109</v>
      </c>
      <c r="E6" s="13" t="s">
        <v>110</v>
      </c>
      <c r="F6" s="13" t="s">
        <v>111</v>
      </c>
    </row>
    <row r="7" spans="2:14" ht="34.049999999999997" customHeight="1" x14ac:dyDescent="0.3">
      <c r="B7" s="14" t="s">
        <v>112</v>
      </c>
      <c r="C7" s="14" t="s">
        <v>113</v>
      </c>
      <c r="D7" s="14" t="s">
        <v>114</v>
      </c>
      <c r="E7" s="14" t="s">
        <v>115</v>
      </c>
      <c r="F7" s="15" t="s">
        <v>116</v>
      </c>
    </row>
    <row r="8" spans="2:14" ht="34.049999999999997" customHeight="1" x14ac:dyDescent="0.3">
      <c r="B8" s="14" t="s">
        <v>112</v>
      </c>
      <c r="C8" s="14" t="s">
        <v>117</v>
      </c>
      <c r="D8" s="14" t="s">
        <v>118</v>
      </c>
      <c r="E8" s="14" t="s">
        <v>115</v>
      </c>
      <c r="F8" s="15" t="s">
        <v>116</v>
      </c>
    </row>
    <row r="9" spans="2:14" ht="34.049999999999997" customHeight="1" x14ac:dyDescent="0.3">
      <c r="B9" s="14" t="s">
        <v>119</v>
      </c>
      <c r="C9" s="14" t="s">
        <v>120</v>
      </c>
      <c r="D9" s="14" t="s">
        <v>121</v>
      </c>
      <c r="E9" s="14" t="s">
        <v>115</v>
      </c>
      <c r="F9" s="15" t="s">
        <v>116</v>
      </c>
    </row>
    <row r="10" spans="2:14" ht="34.049999999999997" customHeight="1" x14ac:dyDescent="0.3">
      <c r="B10" s="14" t="s">
        <v>122</v>
      </c>
      <c r="C10" s="14" t="s">
        <v>123</v>
      </c>
      <c r="D10" s="14" t="s">
        <v>124</v>
      </c>
      <c r="E10" s="14" t="s">
        <v>115</v>
      </c>
      <c r="F10" s="15" t="s">
        <v>116</v>
      </c>
    </row>
    <row r="11" spans="2:14" ht="34.049999999999997" customHeight="1" x14ac:dyDescent="0.3">
      <c r="B11" s="14" t="s">
        <v>125</v>
      </c>
      <c r="C11" s="14" t="s">
        <v>126</v>
      </c>
      <c r="D11" s="14" t="s">
        <v>127</v>
      </c>
      <c r="E11" s="14" t="s">
        <v>115</v>
      </c>
      <c r="F11" s="15" t="s">
        <v>116</v>
      </c>
    </row>
    <row r="12" spans="2:14" ht="34.049999999999997" customHeight="1" x14ac:dyDescent="0.3">
      <c r="B12" s="14" t="s">
        <v>125</v>
      </c>
      <c r="C12" s="14" t="s">
        <v>128</v>
      </c>
      <c r="D12" s="14" t="s">
        <v>129</v>
      </c>
      <c r="E12" s="14" t="s">
        <v>130</v>
      </c>
      <c r="F12" s="15" t="s">
        <v>116</v>
      </c>
    </row>
    <row r="13" spans="2:14" ht="34.049999999999997" customHeight="1" x14ac:dyDescent="0.3">
      <c r="B13" s="14" t="s">
        <v>131</v>
      </c>
      <c r="C13" s="14" t="s">
        <v>132</v>
      </c>
      <c r="D13" s="14" t="s">
        <v>133</v>
      </c>
      <c r="E13" s="14" t="s">
        <v>115</v>
      </c>
      <c r="F13" s="15" t="s">
        <v>116</v>
      </c>
    </row>
    <row r="14" spans="2:14" ht="34.049999999999997" customHeight="1" x14ac:dyDescent="0.3">
      <c r="B14" s="14" t="s">
        <v>134</v>
      </c>
      <c r="C14" s="14" t="s">
        <v>135</v>
      </c>
      <c r="D14" s="14" t="s">
        <v>136</v>
      </c>
      <c r="E14" s="14" t="s">
        <v>115</v>
      </c>
      <c r="F14" s="15" t="s">
        <v>116</v>
      </c>
    </row>
    <row r="17" spans="2:14" x14ac:dyDescent="0.3">
      <c r="B17" s="40" t="s">
        <v>137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2:14" x14ac:dyDescent="0.3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</row>
    <row r="19" spans="2:14" x14ac:dyDescent="0.3"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spans="2:14" x14ac:dyDescent="0.3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2:14" x14ac:dyDescent="0.3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</sheetData>
  <mergeCells count="2">
    <mergeCell ref="B2:N4"/>
    <mergeCell ref="B17:N21"/>
  </mergeCells>
  <hyperlinks>
    <hyperlink ref="B1" location="'00_HOME'!A1" display="← HOME" xr:uid="{00000000-0004-0000-0700-000000000000}"/>
    <hyperlink ref="F7" r:id="rId1" xr:uid="{00000000-0004-0000-0700-000001000000}"/>
    <hyperlink ref="F8" r:id="rId2" xr:uid="{00000000-0004-0000-0700-000002000000}"/>
    <hyperlink ref="F9" r:id="rId3" xr:uid="{00000000-0004-0000-0700-000003000000}"/>
    <hyperlink ref="F10" r:id="rId4" xr:uid="{00000000-0004-0000-0700-000004000000}"/>
    <hyperlink ref="F11" r:id="rId5" xr:uid="{00000000-0004-0000-0700-000005000000}"/>
    <hyperlink ref="F12" r:id="rId6" xr:uid="{00000000-0004-0000-0700-000006000000}"/>
    <hyperlink ref="F13" r:id="rId7" xr:uid="{00000000-0004-0000-0700-000007000000}"/>
    <hyperlink ref="F14" r:id="rId8" xr:uid="{00000000-0004-0000-0700-000008000000}"/>
  </hyperlinks>
  <pageMargins left="0.15" right="0.15" top="0.2" bottom="0.2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/>
  </sheetViews>
  <sheetFormatPr defaultRowHeight="14.4" x14ac:dyDescent="0.3"/>
  <sheetData>
    <row r="1" spans="1:3" x14ac:dyDescent="0.3">
      <c r="A1" t="s">
        <v>138</v>
      </c>
      <c r="B1" t="s">
        <v>139</v>
      </c>
      <c r="C1" t="s">
        <v>140</v>
      </c>
    </row>
    <row r="2" spans="1:3" x14ac:dyDescent="0.3">
      <c r="A2" t="s">
        <v>141</v>
      </c>
      <c r="B2">
        <v>9.6999999999999993</v>
      </c>
      <c r="C2" t="s">
        <v>115</v>
      </c>
    </row>
    <row r="3" spans="1:3" x14ac:dyDescent="0.3">
      <c r="A3" t="s">
        <v>142</v>
      </c>
      <c r="B3">
        <v>7</v>
      </c>
      <c r="C3" t="s">
        <v>115</v>
      </c>
    </row>
    <row r="4" spans="1:3" x14ac:dyDescent="0.3">
      <c r="A4" t="s">
        <v>143</v>
      </c>
      <c r="B4">
        <v>8.1999999999999993</v>
      </c>
      <c r="C4" t="s">
        <v>115</v>
      </c>
    </row>
    <row r="5" spans="1:3" x14ac:dyDescent="0.3">
      <c r="A5" t="s">
        <v>144</v>
      </c>
      <c r="B5">
        <v>6.5</v>
      </c>
      <c r="C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/>
  </sheetViews>
  <sheetFormatPr defaultRowHeight="14.4" x14ac:dyDescent="0.3"/>
  <sheetData>
    <row r="1" spans="1:3" x14ac:dyDescent="0.3">
      <c r="A1" t="s">
        <v>138</v>
      </c>
      <c r="B1" t="s">
        <v>145</v>
      </c>
      <c r="C1" t="s">
        <v>140</v>
      </c>
    </row>
    <row r="2" spans="1:3" x14ac:dyDescent="0.3">
      <c r="A2" t="s">
        <v>143</v>
      </c>
      <c r="B2">
        <v>301.23</v>
      </c>
      <c r="C2" t="s">
        <v>115</v>
      </c>
    </row>
    <row r="3" spans="1:3" x14ac:dyDescent="0.3">
      <c r="A3" t="s">
        <v>144</v>
      </c>
      <c r="B3">
        <v>330.68</v>
      </c>
      <c r="C3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4.4" x14ac:dyDescent="0.3"/>
  <sheetData>
    <row r="1" spans="1:3" x14ac:dyDescent="0.3">
      <c r="A1" t="s">
        <v>138</v>
      </c>
      <c r="B1" t="s">
        <v>146</v>
      </c>
      <c r="C1" t="s">
        <v>140</v>
      </c>
    </row>
    <row r="2" spans="1:3" x14ac:dyDescent="0.3">
      <c r="A2" t="s">
        <v>147</v>
      </c>
      <c r="B2">
        <v>1.21</v>
      </c>
      <c r="C2" t="s">
        <v>130</v>
      </c>
    </row>
    <row r="3" spans="1:3" x14ac:dyDescent="0.3">
      <c r="A3" t="s">
        <v>148</v>
      </c>
      <c r="B3">
        <v>3.22</v>
      </c>
      <c r="C3" t="s">
        <v>130</v>
      </c>
    </row>
    <row r="4" spans="1:3" x14ac:dyDescent="0.3">
      <c r="A4" t="s">
        <v>149</v>
      </c>
      <c r="B4">
        <v>10</v>
      </c>
      <c r="C4" t="s">
        <v>130</v>
      </c>
    </row>
    <row r="5" spans="1:3" x14ac:dyDescent="0.3">
      <c r="A5" t="s">
        <v>144</v>
      </c>
      <c r="B5">
        <v>19.649999999999999</v>
      </c>
      <c r="C5" t="s">
        <v>130</v>
      </c>
    </row>
    <row r="6" spans="1:3" x14ac:dyDescent="0.3">
      <c r="A6" t="s">
        <v>150</v>
      </c>
      <c r="B6">
        <v>25.51</v>
      </c>
      <c r="C6" t="s">
        <v>130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151</v>
      </c>
      <c r="B1" t="s">
        <v>152</v>
      </c>
      <c r="C1" t="s">
        <v>140</v>
      </c>
    </row>
    <row r="2" spans="1:3" x14ac:dyDescent="0.3">
      <c r="A2" t="s">
        <v>153</v>
      </c>
      <c r="B2">
        <v>377526</v>
      </c>
      <c r="C2" t="s">
        <v>130</v>
      </c>
    </row>
    <row r="3" spans="1:3" x14ac:dyDescent="0.3">
      <c r="A3" t="s">
        <v>154</v>
      </c>
      <c r="B3">
        <v>246221</v>
      </c>
      <c r="C3" t="s">
        <v>130</v>
      </c>
    </row>
    <row r="4" spans="1:3" x14ac:dyDescent="0.3">
      <c r="A4" t="s">
        <v>155</v>
      </c>
      <c r="B4">
        <v>173559</v>
      </c>
      <c r="C4" t="s">
        <v>130</v>
      </c>
    </row>
    <row r="5" spans="1:3" x14ac:dyDescent="0.3">
      <c r="A5" t="s">
        <v>156</v>
      </c>
      <c r="B5">
        <v>137699</v>
      </c>
      <c r="C5" t="s">
        <v>130</v>
      </c>
    </row>
    <row r="6" spans="1:3" x14ac:dyDescent="0.3">
      <c r="A6" t="s">
        <v>157</v>
      </c>
      <c r="B6">
        <v>106963</v>
      </c>
      <c r="C6" t="s">
        <v>130</v>
      </c>
    </row>
    <row r="7" spans="1:3" x14ac:dyDescent="0.3">
      <c r="A7" t="s">
        <v>158</v>
      </c>
      <c r="B7">
        <v>100314</v>
      </c>
      <c r="C7" t="s">
        <v>130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defaultRowHeight="14.4" x14ac:dyDescent="0.3"/>
  <sheetData>
    <row r="1" spans="1:3" x14ac:dyDescent="0.3">
      <c r="A1" t="s">
        <v>159</v>
      </c>
      <c r="B1" t="s">
        <v>160</v>
      </c>
      <c r="C1" t="s">
        <v>140</v>
      </c>
    </row>
    <row r="2" spans="1:3" x14ac:dyDescent="0.3">
      <c r="A2" t="s">
        <v>161</v>
      </c>
      <c r="B2">
        <v>329.7</v>
      </c>
      <c r="C2" t="s">
        <v>115</v>
      </c>
    </row>
    <row r="3" spans="1:3" x14ac:dyDescent="0.3">
      <c r="A3" t="s">
        <v>162</v>
      </c>
      <c r="B3">
        <v>332.3</v>
      </c>
      <c r="C3" t="s">
        <v>115</v>
      </c>
    </row>
    <row r="4" spans="1:3" x14ac:dyDescent="0.3">
      <c r="A4" t="s">
        <v>163</v>
      </c>
      <c r="B4">
        <v>357.7</v>
      </c>
      <c r="C4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defaultRowHeight="14.4" x14ac:dyDescent="0.3"/>
  <sheetData>
    <row r="1" spans="1:3" x14ac:dyDescent="0.3">
      <c r="A1" t="s">
        <v>164</v>
      </c>
      <c r="B1" t="s">
        <v>165</v>
      </c>
      <c r="C1" t="s">
        <v>140</v>
      </c>
    </row>
    <row r="2" spans="1:3" x14ac:dyDescent="0.3">
      <c r="A2" t="s">
        <v>166</v>
      </c>
      <c r="B2">
        <v>150.18</v>
      </c>
      <c r="C2" t="s">
        <v>115</v>
      </c>
    </row>
    <row r="3" spans="1:3" x14ac:dyDescent="0.3">
      <c r="A3" t="s">
        <v>167</v>
      </c>
      <c r="B3">
        <v>117.94</v>
      </c>
      <c r="C3" t="s">
        <v>115</v>
      </c>
    </row>
    <row r="4" spans="1:3" x14ac:dyDescent="0.3">
      <c r="A4" t="s">
        <v>168</v>
      </c>
      <c r="B4">
        <v>63.92</v>
      </c>
      <c r="C4" t="s">
        <v>115</v>
      </c>
    </row>
    <row r="5" spans="1:3" x14ac:dyDescent="0.3">
      <c r="A5" t="s">
        <v>169</v>
      </c>
      <c r="B5">
        <v>25.68</v>
      </c>
      <c r="C5" t="s">
        <v>115</v>
      </c>
    </row>
    <row r="6" spans="1:3" x14ac:dyDescent="0.3">
      <c r="A6" t="s">
        <v>170</v>
      </c>
      <c r="B6">
        <v>42.98</v>
      </c>
      <c r="C6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/>
  </sheetViews>
  <sheetFormatPr defaultRowHeight="14.4" x14ac:dyDescent="0.3"/>
  <sheetData>
    <row r="1" spans="1:3" x14ac:dyDescent="0.3">
      <c r="A1" t="s">
        <v>171</v>
      </c>
      <c r="B1" t="s">
        <v>172</v>
      </c>
      <c r="C1" t="s">
        <v>140</v>
      </c>
    </row>
    <row r="2" spans="1:3" x14ac:dyDescent="0.3">
      <c r="A2" t="s">
        <v>173</v>
      </c>
      <c r="B2">
        <v>5</v>
      </c>
      <c r="C2" t="s">
        <v>115</v>
      </c>
    </row>
    <row r="3" spans="1:3" x14ac:dyDescent="0.3">
      <c r="A3" t="s">
        <v>174</v>
      </c>
      <c r="B3">
        <v>9</v>
      </c>
      <c r="C3" t="s">
        <v>130</v>
      </c>
    </row>
    <row r="4" spans="1:3" x14ac:dyDescent="0.3">
      <c r="A4" t="s">
        <v>175</v>
      </c>
      <c r="B4">
        <v>165</v>
      </c>
      <c r="C4" t="s">
        <v>130</v>
      </c>
    </row>
    <row r="5" spans="1:3" x14ac:dyDescent="0.3">
      <c r="A5" t="s">
        <v>176</v>
      </c>
      <c r="B5">
        <v>214</v>
      </c>
      <c r="C5" t="s">
        <v>130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workbookViewId="0"/>
  </sheetViews>
  <sheetFormatPr defaultRowHeight="14.4" x14ac:dyDescent="0.3"/>
  <sheetData>
    <row r="1" spans="1:3" x14ac:dyDescent="0.3">
      <c r="A1" t="s">
        <v>177</v>
      </c>
      <c r="B1" t="s">
        <v>178</v>
      </c>
      <c r="C1" t="s">
        <v>140</v>
      </c>
    </row>
    <row r="2" spans="1:3" x14ac:dyDescent="0.3">
      <c r="A2" t="s">
        <v>179</v>
      </c>
      <c r="B2">
        <v>22</v>
      </c>
      <c r="C2" t="s">
        <v>130</v>
      </c>
    </row>
    <row r="3" spans="1:3" x14ac:dyDescent="0.3">
      <c r="A3" t="s">
        <v>180</v>
      </c>
      <c r="B3">
        <v>113</v>
      </c>
      <c r="C3" t="s">
        <v>130</v>
      </c>
    </row>
    <row r="4" spans="1:3" x14ac:dyDescent="0.3">
      <c r="A4" t="s">
        <v>181</v>
      </c>
      <c r="B4">
        <v>71</v>
      </c>
      <c r="C4" t="s">
        <v>130</v>
      </c>
    </row>
    <row r="5" spans="1:3" x14ac:dyDescent="0.3">
      <c r="A5" t="s">
        <v>182</v>
      </c>
      <c r="B5">
        <v>31</v>
      </c>
      <c r="C5" t="s">
        <v>130</v>
      </c>
    </row>
    <row r="6" spans="1:3" x14ac:dyDescent="0.3">
      <c r="A6" t="s">
        <v>183</v>
      </c>
      <c r="B6">
        <v>3</v>
      </c>
      <c r="C6" t="s">
        <v>130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/>
  </sheetViews>
  <sheetFormatPr defaultRowHeight="14.4" x14ac:dyDescent="0.3"/>
  <sheetData>
    <row r="1" spans="1:3" x14ac:dyDescent="0.3">
      <c r="A1" t="s">
        <v>184</v>
      </c>
      <c r="B1" t="s">
        <v>185</v>
      </c>
      <c r="C1" t="s">
        <v>140</v>
      </c>
    </row>
    <row r="2" spans="1:3" x14ac:dyDescent="0.3">
      <c r="A2" t="s">
        <v>186</v>
      </c>
      <c r="B2">
        <v>24</v>
      </c>
      <c r="C2" t="s">
        <v>115</v>
      </c>
    </row>
    <row r="3" spans="1:3" x14ac:dyDescent="0.3">
      <c r="A3" t="s">
        <v>187</v>
      </c>
      <c r="B3">
        <v>68</v>
      </c>
      <c r="C3" t="s">
        <v>115</v>
      </c>
    </row>
    <row r="4" spans="1:3" x14ac:dyDescent="0.3">
      <c r="A4" t="s">
        <v>188</v>
      </c>
      <c r="B4">
        <v>7</v>
      </c>
      <c r="C4" t="s">
        <v>115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"/>
  <sheetViews>
    <sheetView workbookViewId="0"/>
  </sheetViews>
  <sheetFormatPr defaultRowHeight="14.4" x14ac:dyDescent="0.3"/>
  <sheetData>
    <row r="1" spans="1:3" x14ac:dyDescent="0.3">
      <c r="A1" t="s">
        <v>189</v>
      </c>
      <c r="B1" t="s">
        <v>190</v>
      </c>
      <c r="C1" t="s">
        <v>140</v>
      </c>
    </row>
    <row r="2" spans="1:3" x14ac:dyDescent="0.3">
      <c r="A2" t="s">
        <v>191</v>
      </c>
      <c r="B2">
        <v>28.4</v>
      </c>
      <c r="C2" t="s">
        <v>115</v>
      </c>
    </row>
    <row r="3" spans="1:3" x14ac:dyDescent="0.3">
      <c r="A3" t="s">
        <v>192</v>
      </c>
      <c r="B3">
        <v>30.5</v>
      </c>
      <c r="C3" t="s">
        <v>115</v>
      </c>
    </row>
    <row r="4" spans="1:3" x14ac:dyDescent="0.3">
      <c r="A4" t="s">
        <v>193</v>
      </c>
      <c r="B4">
        <v>39.5</v>
      </c>
      <c r="C4" t="s">
        <v>115</v>
      </c>
    </row>
    <row r="5" spans="1:3" x14ac:dyDescent="0.3">
      <c r="A5" t="s">
        <v>194</v>
      </c>
      <c r="B5">
        <v>49.4</v>
      </c>
      <c r="C5" t="s">
        <v>115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"/>
  <sheetViews>
    <sheetView workbookViewId="0"/>
  </sheetViews>
  <sheetFormatPr defaultRowHeight="14.4" x14ac:dyDescent="0.3"/>
  <sheetData>
    <row r="1" spans="1:3" x14ac:dyDescent="0.3">
      <c r="A1" t="s">
        <v>195</v>
      </c>
      <c r="B1" t="s">
        <v>196</v>
      </c>
      <c r="C1" t="s">
        <v>140</v>
      </c>
    </row>
    <row r="2" spans="1:3" x14ac:dyDescent="0.3">
      <c r="A2" t="s">
        <v>149</v>
      </c>
      <c r="B2">
        <v>74.05</v>
      </c>
      <c r="C2" t="s">
        <v>197</v>
      </c>
    </row>
    <row r="3" spans="1:3" x14ac:dyDescent="0.3">
      <c r="A3" t="s">
        <v>198</v>
      </c>
      <c r="B3">
        <v>117.6</v>
      </c>
      <c r="C3" t="s">
        <v>197</v>
      </c>
    </row>
    <row r="4" spans="1:3" x14ac:dyDescent="0.3">
      <c r="A4" t="s">
        <v>199</v>
      </c>
      <c r="B4">
        <v>172.2</v>
      </c>
      <c r="C4" t="s">
        <v>197</v>
      </c>
    </row>
    <row r="5" spans="1:3" x14ac:dyDescent="0.3">
      <c r="A5" t="s">
        <v>200</v>
      </c>
      <c r="B5">
        <v>228.3</v>
      </c>
      <c r="C5" t="s">
        <v>201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"/>
  <sheetViews>
    <sheetView workbookViewId="0"/>
  </sheetViews>
  <sheetFormatPr defaultRowHeight="14.4" x14ac:dyDescent="0.3"/>
  <sheetData>
    <row r="1" spans="1:3" x14ac:dyDescent="0.3">
      <c r="A1" t="s">
        <v>138</v>
      </c>
      <c r="B1" t="s">
        <v>202</v>
      </c>
      <c r="C1" t="s">
        <v>140</v>
      </c>
    </row>
    <row r="2" spans="1:3" x14ac:dyDescent="0.3">
      <c r="A2" t="s">
        <v>203</v>
      </c>
      <c r="B2">
        <v>7.0000000000000007E-2</v>
      </c>
      <c r="C2" t="s">
        <v>115</v>
      </c>
    </row>
    <row r="3" spans="1:3" x14ac:dyDescent="0.3">
      <c r="A3" t="s">
        <v>150</v>
      </c>
      <c r="B3">
        <v>314</v>
      </c>
      <c r="C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8</vt:i4>
      </vt:variant>
    </vt:vector>
  </HeadingPairs>
  <TitlesOfParts>
    <vt:vector size="28" baseType="lpstr">
      <vt:lpstr>00_HOME</vt:lpstr>
      <vt:lpstr>01_ECONOMY</vt:lpstr>
      <vt:lpstr>02_MOBILITY</vt:lpstr>
      <vt:lpstr>03_AGRICULTURE</vt:lpstr>
      <vt:lpstr>04_ENVIRONMENT</vt:lpstr>
      <vt:lpstr>05_POPULATION</vt:lpstr>
      <vt:lpstr>06_DIGITAL</vt:lpstr>
      <vt:lpstr>07_SOURCES</vt:lpstr>
      <vt:lpstr>DATA_ECONOMY</vt:lpstr>
      <vt:lpstr>DATA_ECONOMY_SIZE</vt:lpstr>
      <vt:lpstr>DATA_MOBILITY</vt:lpstr>
      <vt:lpstr>DATA_MOBILITY_STATES</vt:lpstr>
      <vt:lpstr>DATA_AGRICULTURE</vt:lpstr>
      <vt:lpstr>DATA_AGRICULTURE_CROPS</vt:lpstr>
      <vt:lpstr>DATA_ENVIRONMENT</vt:lpstr>
      <vt:lpstr>DATA_ENVIRONMENT_AQI</vt:lpstr>
      <vt:lpstr>DATA_POPULATION</vt:lpstr>
      <vt:lpstr>DATA_POPULATION_MEDIAN</vt:lpstr>
      <vt:lpstr>DATA_DIGITAL</vt:lpstr>
      <vt:lpstr>DATA_DIGITAL_VALUE</vt:lpstr>
      <vt:lpstr>'00_HOME'!Print_Area</vt:lpstr>
      <vt:lpstr>'01_ECONOMY'!Print_Area</vt:lpstr>
      <vt:lpstr>'02_MOBILITY'!Print_Area</vt:lpstr>
      <vt:lpstr>'03_AGRICULTURE'!Print_Area</vt:lpstr>
      <vt:lpstr>'04_ENVIRONMENT'!Print_Area</vt:lpstr>
      <vt:lpstr>'05_POPULATION'!Print_Area</vt:lpstr>
      <vt:lpstr>'06_DIGITAL'!Print_Area</vt:lpstr>
      <vt:lpstr>'07_SOURCES'!Print_Area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 — The Pulse of a Nation | Portfolio Edition</dc:title>
  <dc:subject>Excel data storytelling portfolio</dc:subject>
  <dc:creator>Chetan Mathpati</dc:creator>
  <cp:lastModifiedBy>Chetan Mathpathi</cp:lastModifiedBy>
  <dcterms:created xsi:type="dcterms:W3CDTF">2026-09-06T18:14:52Z</dcterms:created>
  <dcterms:modified xsi:type="dcterms:W3CDTF">2026-09-06T19:54:28Z</dcterms:modified>
</cp:coreProperties>
</file>